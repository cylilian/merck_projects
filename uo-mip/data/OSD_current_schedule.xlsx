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ya68/Documents/GitHub/uo-mip/data/"/>
    </mc:Choice>
  </mc:AlternateContent>
  <xr:revisionPtr revIDLastSave="0" documentId="13_ncr:1_{7CDCA5BB-4D0A-0841-9EA3-EA09F45323E8}" xr6:coauthVersionLast="47" xr6:coauthVersionMax="47" xr10:uidLastSave="{00000000-0000-0000-0000-000000000000}"/>
  <bookViews>
    <workbookView xWindow="0" yWindow="760" windowWidth="30240" windowHeight="17800" activeTab="1" xr2:uid="{96DF4EF1-8062-4943-B671-5F701B258818}"/>
  </bookViews>
  <sheets>
    <sheet name="Current-schedule" sheetId="1" r:id="rId1"/>
    <sheet name="subset" sheetId="2" r:id="rId2"/>
    <sheet name="draft1_list-1204" sheetId="6" r:id="rId3"/>
    <sheet name="optimized-1204" sheetId="8" r:id="rId4"/>
    <sheet name="optimized" sheetId="5" r:id="rId5"/>
    <sheet name="draft1_list-v4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2" l="1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K51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K52" i="2"/>
  <c r="BO21" i="1"/>
  <c r="BN21" i="1"/>
  <c r="BM21" i="1"/>
  <c r="BL21" i="1"/>
  <c r="BK21" i="1"/>
  <c r="BJ21" i="1"/>
  <c r="BI21" i="1"/>
  <c r="BH21" i="1"/>
  <c r="BG21" i="1"/>
  <c r="BF21" i="1"/>
  <c r="BE21" i="1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K22" i="2"/>
  <c r="AM3" i="2" s="1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K36" i="2"/>
  <c r="C4" i="2"/>
  <c r="D4" i="2" s="1"/>
  <c r="B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BC5" i="2"/>
  <c r="BD4" i="2"/>
  <c r="BD5" i="2" s="1"/>
  <c r="BH7" i="1"/>
  <c r="EZ1" i="1"/>
  <c r="EX1" i="1"/>
  <c r="EV1" i="1"/>
  <c r="EM1" i="1"/>
  <c r="EK1" i="1"/>
  <c r="EI1" i="1"/>
  <c r="DZ1" i="1"/>
  <c r="DV1" i="1"/>
  <c r="AL3" i="2" l="1"/>
  <c r="AL2" i="2"/>
  <c r="E4" i="2"/>
  <c r="D5" i="2"/>
  <c r="C5" i="2"/>
  <c r="BE4" i="2"/>
  <c r="BE5" i="2" s="1"/>
  <c r="DO9" i="1"/>
  <c r="DP9" i="1"/>
  <c r="DQ9" i="1"/>
  <c r="DR9" i="1"/>
  <c r="DS9" i="1"/>
  <c r="DT9" i="1"/>
  <c r="DU9" i="1"/>
  <c r="DV9" i="1"/>
  <c r="DW9" i="1"/>
  <c r="DX9" i="1"/>
  <c r="DY9" i="1"/>
  <c r="DZ9" i="1"/>
  <c r="DI36" i="1"/>
  <c r="DI37" i="1" s="1"/>
  <c r="CI9" i="1"/>
  <c r="F4" i="2" l="1"/>
  <c r="E5" i="2"/>
  <c r="BF4" i="2"/>
  <c r="BF5" i="2"/>
  <c r="BG4" i="2"/>
  <c r="CG9" i="1"/>
  <c r="BF36" i="1"/>
  <c r="BU66" i="1"/>
  <c r="BV66" i="1"/>
  <c r="BW66" i="1"/>
  <c r="BX66" i="1"/>
  <c r="BY66" i="1"/>
  <c r="BZ66" i="1"/>
  <c r="CA66" i="1"/>
  <c r="CB66" i="1"/>
  <c r="BT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C66" i="1"/>
  <c r="G4" i="2" l="1"/>
  <c r="F5" i="2"/>
  <c r="BG5" i="2"/>
  <c r="BH4" i="2"/>
  <c r="BH5" i="2" s="1"/>
  <c r="BX1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CK36" i="1"/>
  <c r="CK37" i="1" s="1"/>
  <c r="CL36" i="1"/>
  <c r="CL37" i="1" s="1"/>
  <c r="CM36" i="1"/>
  <c r="CM37" i="1" s="1"/>
  <c r="CN36" i="1"/>
  <c r="CN37" i="1" s="1"/>
  <c r="CO36" i="1"/>
  <c r="CO37" i="1" s="1"/>
  <c r="CP36" i="1"/>
  <c r="CP37" i="1" s="1"/>
  <c r="CQ36" i="1"/>
  <c r="CQ37" i="1" s="1"/>
  <c r="CR36" i="1"/>
  <c r="CR37" i="1" s="1"/>
  <c r="CS36" i="1"/>
  <c r="CS37" i="1" s="1"/>
  <c r="CT36" i="1"/>
  <c r="CT37" i="1" s="1"/>
  <c r="CU36" i="1"/>
  <c r="CU37" i="1" s="1"/>
  <c r="CV36" i="1"/>
  <c r="CV37" i="1" s="1"/>
  <c r="CW36" i="1"/>
  <c r="CW37" i="1" s="1"/>
  <c r="CX36" i="1"/>
  <c r="CX37" i="1" s="1"/>
  <c r="CY36" i="1"/>
  <c r="CY37" i="1" s="1"/>
  <c r="CZ36" i="1"/>
  <c r="CZ37" i="1" s="1"/>
  <c r="DA36" i="1"/>
  <c r="DA37" i="1" s="1"/>
  <c r="DB36" i="1"/>
  <c r="DB37" i="1" s="1"/>
  <c r="DC36" i="1"/>
  <c r="DC37" i="1" s="1"/>
  <c r="DD36" i="1"/>
  <c r="DD37" i="1" s="1"/>
  <c r="DE36" i="1"/>
  <c r="DE37" i="1" s="1"/>
  <c r="DF36" i="1"/>
  <c r="DF37" i="1" s="1"/>
  <c r="DG36" i="1"/>
  <c r="DG37" i="1" s="1"/>
  <c r="DH36" i="1"/>
  <c r="DH37" i="1" s="1"/>
  <c r="DJ36" i="1"/>
  <c r="DJ37" i="1" s="1"/>
  <c r="DK36" i="1"/>
  <c r="DK37" i="1" s="1"/>
  <c r="DL36" i="1"/>
  <c r="DL37" i="1" s="1"/>
  <c r="DM36" i="1"/>
  <c r="DM37" i="1" s="1"/>
  <c r="CG66" i="1"/>
  <c r="CH66" i="1"/>
  <c r="CI66" i="1"/>
  <c r="CJ66" i="1"/>
  <c r="CK66" i="1"/>
  <c r="CF66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CF9" i="1"/>
  <c r="BS9" i="1"/>
  <c r="BT9" i="1"/>
  <c r="BU9" i="1"/>
  <c r="BV9" i="1"/>
  <c r="BW9" i="1"/>
  <c r="BX9" i="1"/>
  <c r="BY9" i="1"/>
  <c r="BZ9" i="1"/>
  <c r="CA9" i="1"/>
  <c r="CB9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C37" i="1" s="1"/>
  <c r="BD36" i="1"/>
  <c r="BD37" i="1" s="1"/>
  <c r="BE36" i="1"/>
  <c r="BE37" i="1" s="1"/>
  <c r="BF37" i="1"/>
  <c r="BG36" i="1"/>
  <c r="BG37" i="1" s="1"/>
  <c r="BH36" i="1"/>
  <c r="BH37" i="1" s="1"/>
  <c r="BI36" i="1"/>
  <c r="BI37" i="1" s="1"/>
  <c r="BJ36" i="1"/>
  <c r="BJ37" i="1" s="1"/>
  <c r="BK36" i="1"/>
  <c r="BK37" i="1" s="1"/>
  <c r="BL36" i="1"/>
  <c r="BL37" i="1" s="1"/>
  <c r="BM36" i="1"/>
  <c r="BM37" i="1" s="1"/>
  <c r="BN36" i="1"/>
  <c r="BN37" i="1" s="1"/>
  <c r="BO36" i="1"/>
  <c r="BO37" i="1" s="1"/>
  <c r="BP36" i="1"/>
  <c r="BP37" i="1" s="1"/>
  <c r="BQ36" i="1"/>
  <c r="BQ37" i="1" s="1"/>
  <c r="BR36" i="1"/>
  <c r="BR37" i="1" s="1"/>
  <c r="BS36" i="1"/>
  <c r="BS37" i="1" s="1"/>
  <c r="BT36" i="1"/>
  <c r="BT37" i="1" s="1"/>
  <c r="BU36" i="1"/>
  <c r="BU37" i="1" s="1"/>
  <c r="BV36" i="1"/>
  <c r="BV37" i="1" s="1"/>
  <c r="BW36" i="1"/>
  <c r="BW37" i="1" s="1"/>
  <c r="BX36" i="1"/>
  <c r="BX37" i="1" s="1"/>
  <c r="BY36" i="1"/>
  <c r="BY37" i="1" s="1"/>
  <c r="BZ36" i="1"/>
  <c r="BZ37" i="1" s="1"/>
  <c r="CA36" i="1"/>
  <c r="CA37" i="1" s="1"/>
  <c r="CB36" i="1"/>
  <c r="CB37" i="1" s="1"/>
  <c r="CC36" i="1"/>
  <c r="CC37" i="1" s="1"/>
  <c r="CD36" i="1"/>
  <c r="CD37" i="1" s="1"/>
  <c r="CE36" i="1"/>
  <c r="CE37" i="1" s="1"/>
  <c r="CF36" i="1"/>
  <c r="CF37" i="1" s="1"/>
  <c r="CG36" i="1"/>
  <c r="CG37" i="1" s="1"/>
  <c r="CH36" i="1"/>
  <c r="CH37" i="1" s="1"/>
  <c r="CI36" i="1"/>
  <c r="CI37" i="1" s="1"/>
  <c r="CJ36" i="1"/>
  <c r="CJ37" i="1" s="1"/>
  <c r="B36" i="1"/>
  <c r="H4" i="2" l="1"/>
  <c r="G5" i="2"/>
  <c r="DM1" i="1"/>
  <c r="DX1" i="1"/>
  <c r="DK1" i="1"/>
  <c r="CK1" i="1"/>
  <c r="CZ1" i="1"/>
  <c r="CM1" i="1"/>
  <c r="CX1" i="1"/>
  <c r="BZ1" i="1"/>
  <c r="BI1" i="1"/>
  <c r="BM1" i="1"/>
  <c r="BK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CH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C7" i="1"/>
  <c r="C8" i="1" s="1"/>
  <c r="B8" i="1"/>
  <c r="I4" i="2" l="1"/>
  <c r="H5" i="2"/>
  <c r="DI1" i="1"/>
  <c r="CI1" i="1"/>
  <c r="CV1" i="1"/>
  <c r="BV1" i="1"/>
  <c r="D7" i="1"/>
  <c r="J4" i="2" l="1"/>
  <c r="I5" i="2"/>
  <c r="E7" i="1"/>
  <c r="D8" i="1"/>
  <c r="K4" i="2" l="1"/>
  <c r="J5" i="2"/>
  <c r="F7" i="1"/>
  <c r="E8" i="1"/>
  <c r="L4" i="2" l="1"/>
  <c r="K5" i="2"/>
  <c r="F8" i="1"/>
  <c r="G7" i="1"/>
  <c r="L5" i="2" l="1"/>
  <c r="M4" i="2"/>
  <c r="G8" i="1"/>
  <c r="H7" i="1"/>
  <c r="N4" i="2" l="1"/>
  <c r="M5" i="2"/>
  <c r="H8" i="1"/>
  <c r="I7" i="1"/>
  <c r="O4" i="2" l="1"/>
  <c r="N5" i="2"/>
  <c r="J7" i="1"/>
  <c r="I8" i="1"/>
  <c r="P4" i="2" l="1"/>
  <c r="O5" i="2"/>
  <c r="J8" i="1"/>
  <c r="K7" i="1"/>
  <c r="P5" i="2" l="1"/>
  <c r="Q4" i="2"/>
  <c r="L7" i="1"/>
  <c r="K8" i="1"/>
  <c r="R4" i="2" l="1"/>
  <c r="Q5" i="2"/>
  <c r="M7" i="1"/>
  <c r="L8" i="1"/>
  <c r="S4" i="2" l="1"/>
  <c r="R5" i="2"/>
  <c r="N7" i="1"/>
  <c r="M8" i="1"/>
  <c r="T4" i="2" l="1"/>
  <c r="S5" i="2"/>
  <c r="N8" i="1"/>
  <c r="O7" i="1"/>
  <c r="U4" i="2" l="1"/>
  <c r="T5" i="2"/>
  <c r="O8" i="1"/>
  <c r="P7" i="1"/>
  <c r="V4" i="2" l="1"/>
  <c r="U5" i="2"/>
  <c r="Q7" i="1"/>
  <c r="P8" i="1"/>
  <c r="W4" i="2" l="1"/>
  <c r="V5" i="2"/>
  <c r="R7" i="1"/>
  <c r="Q8" i="1"/>
  <c r="W5" i="2" l="1"/>
  <c r="X4" i="2"/>
  <c r="R8" i="1"/>
  <c r="S7" i="1"/>
  <c r="Y4" i="2" l="1"/>
  <c r="X5" i="2"/>
  <c r="S8" i="1"/>
  <c r="T7" i="1"/>
  <c r="Z4" i="2" l="1"/>
  <c r="Y5" i="2"/>
  <c r="U7" i="1"/>
  <c r="T8" i="1"/>
  <c r="AA4" i="2" l="1"/>
  <c r="Z5" i="2"/>
  <c r="V7" i="1"/>
  <c r="U8" i="1"/>
  <c r="AB4" i="2" l="1"/>
  <c r="AA5" i="2"/>
  <c r="V8" i="1"/>
  <c r="W7" i="1"/>
  <c r="AC4" i="2" l="1"/>
  <c r="AB5" i="2"/>
  <c r="W8" i="1"/>
  <c r="X7" i="1"/>
  <c r="AD4" i="2" l="1"/>
  <c r="AC5" i="2"/>
  <c r="Y7" i="1"/>
  <c r="X8" i="1"/>
  <c r="AE4" i="2" l="1"/>
  <c r="AD5" i="2"/>
  <c r="Y8" i="1"/>
  <c r="Z7" i="1"/>
  <c r="AF4" i="2" l="1"/>
  <c r="AE5" i="2"/>
  <c r="AA7" i="1"/>
  <c r="Z8" i="1"/>
  <c r="AG4" i="2" l="1"/>
  <c r="AF5" i="2"/>
  <c r="AB7" i="1"/>
  <c r="AA8" i="1"/>
  <c r="AH4" i="2" l="1"/>
  <c r="AG5" i="2"/>
  <c r="AC7" i="1"/>
  <c r="AB8" i="1"/>
  <c r="AH5" i="2" l="1"/>
  <c r="AI4" i="2"/>
  <c r="AD7" i="1"/>
  <c r="AC8" i="1"/>
  <c r="AJ4" i="2" l="1"/>
  <c r="AJ5" i="2" s="1"/>
  <c r="AI5" i="2"/>
  <c r="AE7" i="1"/>
  <c r="AD8" i="1"/>
  <c r="AF7" i="1" l="1"/>
  <c r="AE8" i="1"/>
  <c r="AK4" i="2" l="1"/>
  <c r="AG7" i="1"/>
  <c r="AF8" i="1"/>
  <c r="AK5" i="2" l="1"/>
  <c r="AL4" i="2"/>
  <c r="AH7" i="1"/>
  <c r="AG8" i="1"/>
  <c r="AL5" i="2" l="1"/>
  <c r="AM4" i="2"/>
  <c r="AI7" i="1"/>
  <c r="AH8" i="1"/>
  <c r="AM5" i="2" l="1"/>
  <c r="AN4" i="2"/>
  <c r="AJ7" i="1"/>
  <c r="AI8" i="1"/>
  <c r="AN5" i="2" l="1"/>
  <c r="AO4" i="2"/>
  <c r="AK7" i="1"/>
  <c r="AJ8" i="1"/>
  <c r="AO5" i="2" l="1"/>
  <c r="AP4" i="2"/>
  <c r="AL7" i="1"/>
  <c r="AK8" i="1"/>
  <c r="AQ4" i="2" l="1"/>
  <c r="AP5" i="2"/>
  <c r="AM7" i="1"/>
  <c r="AL8" i="1"/>
  <c r="AR4" i="2" l="1"/>
  <c r="AQ5" i="2"/>
  <c r="AN7" i="1"/>
  <c r="AM8" i="1"/>
  <c r="AR5" i="2" l="1"/>
  <c r="AS4" i="2"/>
  <c r="AO7" i="1"/>
  <c r="AN8" i="1"/>
  <c r="AT4" i="2" l="1"/>
  <c r="AS5" i="2"/>
  <c r="AP7" i="1"/>
  <c r="AO8" i="1"/>
  <c r="AU4" i="2" l="1"/>
  <c r="AT5" i="2"/>
  <c r="AQ7" i="1"/>
  <c r="AP8" i="1"/>
  <c r="AV4" i="2" l="1"/>
  <c r="AU5" i="2"/>
  <c r="AR7" i="1"/>
  <c r="AQ8" i="1"/>
  <c r="AV5" i="2" l="1"/>
  <c r="AW4" i="2"/>
  <c r="AS7" i="1"/>
  <c r="AR8" i="1"/>
  <c r="AW5" i="2" l="1"/>
  <c r="AX4" i="2"/>
  <c r="AT7" i="1"/>
  <c r="AS8" i="1"/>
  <c r="AX5" i="2" l="1"/>
  <c r="AY4" i="2"/>
  <c r="AU7" i="1"/>
  <c r="AT8" i="1"/>
  <c r="AY5" i="2" l="1"/>
  <c r="AZ4" i="2"/>
  <c r="AV7" i="1"/>
  <c r="AU8" i="1"/>
  <c r="AZ5" i="2" l="1"/>
  <c r="BA4" i="2"/>
  <c r="AW7" i="1"/>
  <c r="AV8" i="1"/>
  <c r="BB4" i="2" l="1"/>
  <c r="BB5" i="2" s="1"/>
  <c r="BA5" i="2"/>
  <c r="AX7" i="1"/>
  <c r="AW8" i="1"/>
  <c r="AY7" i="1" l="1"/>
  <c r="AX8" i="1"/>
  <c r="AZ7" i="1" l="1"/>
  <c r="AY8" i="1"/>
  <c r="BA7" i="1" l="1"/>
  <c r="AZ8" i="1"/>
  <c r="BB7" i="1" l="1"/>
  <c r="BA8" i="1"/>
  <c r="BB8" i="1" l="1"/>
  <c r="BD7" i="1" l="1"/>
  <c r="BC8" i="1"/>
  <c r="BE7" i="1" l="1"/>
  <c r="BD8" i="1"/>
  <c r="BF7" i="1" l="1"/>
  <c r="BE8" i="1"/>
  <c r="BG7" i="1" l="1"/>
  <c r="BF8" i="1"/>
  <c r="BG8" i="1" l="1"/>
  <c r="BI7" i="1" l="1"/>
  <c r="BH8" i="1"/>
  <c r="BI8" i="1" l="1"/>
  <c r="BJ7" i="1"/>
  <c r="BK7" i="1" l="1"/>
  <c r="BK8" i="1" s="1"/>
  <c r="BJ8" i="1"/>
  <c r="BL7" i="1" l="1"/>
  <c r="BL8" i="1" l="1"/>
  <c r="BM7" i="1"/>
  <c r="BN7" i="1" l="1"/>
  <c r="BM8" i="1"/>
  <c r="BO7" i="1" l="1"/>
  <c r="BN8" i="1"/>
  <c r="BP7" i="1" l="1"/>
  <c r="BO8" i="1"/>
  <c r="BP8" i="1" l="1"/>
  <c r="BQ7" i="1"/>
  <c r="BR7" i="1" l="1"/>
  <c r="BQ8" i="1"/>
  <c r="BS7" i="1" l="1"/>
  <c r="BR8" i="1"/>
  <c r="BT7" i="1" l="1"/>
  <c r="BS8" i="1"/>
  <c r="BU7" i="1" l="1"/>
  <c r="BT8" i="1"/>
  <c r="BV7" i="1" l="1"/>
  <c r="BU8" i="1"/>
  <c r="BW7" i="1" l="1"/>
  <c r="BV8" i="1"/>
  <c r="BX7" i="1" l="1"/>
  <c r="BW8" i="1"/>
  <c r="BX8" i="1" l="1"/>
  <c r="BY7" i="1"/>
  <c r="BZ7" i="1" l="1"/>
  <c r="BY8" i="1"/>
  <c r="BZ8" i="1" l="1"/>
  <c r="CA7" i="1"/>
  <c r="CA8" i="1" l="1"/>
  <c r="CB7" i="1"/>
  <c r="CC7" i="1" l="1"/>
  <c r="CB8" i="1"/>
  <c r="CC8" i="1" l="1"/>
  <c r="CD7" i="1"/>
  <c r="CE7" i="1" l="1"/>
  <c r="CD8" i="1"/>
  <c r="CE8" i="1" l="1"/>
  <c r="CF7" i="1"/>
  <c r="CF8" i="1" l="1"/>
  <c r="CG7" i="1"/>
  <c r="CG8" i="1" l="1"/>
  <c r="CH7" i="1"/>
  <c r="CI7" i="1" l="1"/>
  <c r="CH8" i="1"/>
  <c r="CJ7" i="1" l="1"/>
  <c r="CI8" i="1"/>
  <c r="CK7" i="1" l="1"/>
  <c r="CJ8" i="1"/>
  <c r="CL7" i="1" l="1"/>
  <c r="CK8" i="1"/>
  <c r="CM7" i="1" l="1"/>
  <c r="CL8" i="1"/>
  <c r="CM8" i="1" l="1"/>
  <c r="CN7" i="1"/>
  <c r="CN8" i="1" l="1"/>
  <c r="CO7" i="1"/>
  <c r="CO8" i="1" l="1"/>
  <c r="CP7" i="1"/>
  <c r="CQ7" i="1" l="1"/>
  <c r="CP8" i="1"/>
  <c r="CQ8" i="1" l="1"/>
  <c r="CR7" i="1"/>
  <c r="CS7" i="1" l="1"/>
  <c r="CR8" i="1"/>
  <c r="CS8" i="1" l="1"/>
  <c r="CT7" i="1"/>
  <c r="CT8" i="1" l="1"/>
  <c r="CU7" i="1"/>
  <c r="CU8" i="1" l="1"/>
  <c r="CV7" i="1"/>
  <c r="CV8" i="1" l="1"/>
  <c r="CW7" i="1"/>
  <c r="CX7" i="1" l="1"/>
  <c r="CW8" i="1"/>
  <c r="CY7" i="1" l="1"/>
  <c r="CX8" i="1"/>
  <c r="CZ7" i="1" l="1"/>
  <c r="CY8" i="1"/>
  <c r="CZ8" i="1" l="1"/>
  <c r="DA7" i="1"/>
  <c r="DB7" i="1" l="1"/>
  <c r="DA8" i="1"/>
  <c r="DB8" i="1" l="1"/>
  <c r="DC7" i="1"/>
  <c r="DC8" i="1" l="1"/>
  <c r="DD7" i="1"/>
  <c r="DD8" i="1" l="1"/>
  <c r="DE7" i="1"/>
  <c r="DF7" i="1" l="1"/>
  <c r="DE8" i="1"/>
  <c r="DG7" i="1" l="1"/>
  <c r="DF8" i="1"/>
  <c r="DG8" i="1" l="1"/>
  <c r="DH7" i="1"/>
  <c r="DI7" i="1" l="1"/>
  <c r="DH8" i="1"/>
  <c r="DJ7" i="1" l="1"/>
  <c r="DI8" i="1"/>
  <c r="DJ8" i="1" l="1"/>
  <c r="DK7" i="1"/>
  <c r="DK8" i="1" l="1"/>
  <c r="DL7" i="1"/>
  <c r="DL8" i="1" l="1"/>
  <c r="DM7" i="1"/>
  <c r="DM8" i="1" l="1"/>
  <c r="DN7" i="1"/>
  <c r="DO7" i="1" l="1"/>
  <c r="DN8" i="1"/>
  <c r="DP7" i="1" l="1"/>
  <c r="DO8" i="1"/>
  <c r="DQ7" i="1" l="1"/>
  <c r="DP8" i="1"/>
  <c r="DR7" i="1" l="1"/>
  <c r="DQ8" i="1"/>
  <c r="DS7" i="1" l="1"/>
  <c r="DR8" i="1"/>
  <c r="DT7" i="1" l="1"/>
  <c r="DS8" i="1"/>
  <c r="DU7" i="1" l="1"/>
  <c r="DT8" i="1"/>
  <c r="DV7" i="1" l="1"/>
  <c r="DU8" i="1"/>
  <c r="DW7" i="1" l="1"/>
  <c r="DV8" i="1"/>
  <c r="DX7" i="1" l="1"/>
  <c r="DW8" i="1"/>
  <c r="DY7" i="1" l="1"/>
  <c r="DX8" i="1"/>
  <c r="DZ7" i="1" l="1"/>
  <c r="DY8" i="1"/>
  <c r="EA7" i="1" l="1"/>
  <c r="DZ8" i="1"/>
  <c r="EB7" i="1" l="1"/>
  <c r="EA8" i="1"/>
  <c r="EC7" i="1" l="1"/>
  <c r="EB8" i="1"/>
  <c r="ED7" i="1" l="1"/>
  <c r="EC8" i="1"/>
  <c r="EE7" i="1" l="1"/>
  <c r="ED8" i="1"/>
  <c r="EF7" i="1" l="1"/>
  <c r="EE8" i="1"/>
  <c r="EG7" i="1" l="1"/>
  <c r="EF8" i="1"/>
  <c r="EH7" i="1" l="1"/>
  <c r="EG8" i="1"/>
  <c r="EI7" i="1" l="1"/>
  <c r="EH8" i="1"/>
  <c r="EJ7" i="1" l="1"/>
  <c r="EI8" i="1"/>
  <c r="EK7" i="1" l="1"/>
  <c r="EJ8" i="1"/>
  <c r="EL7" i="1" l="1"/>
  <c r="EK8" i="1"/>
  <c r="EM7" i="1" l="1"/>
  <c r="EL8" i="1"/>
  <c r="EN7" i="1" l="1"/>
  <c r="EM8" i="1"/>
  <c r="EO7" i="1" l="1"/>
  <c r="EN8" i="1"/>
  <c r="EP7" i="1" l="1"/>
  <c r="EO8" i="1"/>
  <c r="EQ7" i="1" l="1"/>
  <c r="EP8" i="1"/>
  <c r="ER7" i="1" l="1"/>
  <c r="EQ8" i="1"/>
  <c r="ES7" i="1" l="1"/>
  <c r="ER8" i="1"/>
  <c r="ET7" i="1" l="1"/>
  <c r="ES8" i="1"/>
  <c r="EU7" i="1" l="1"/>
  <c r="ET8" i="1"/>
  <c r="EV7" i="1" l="1"/>
  <c r="EU8" i="1"/>
  <c r="EW7" i="1" l="1"/>
  <c r="EV8" i="1"/>
  <c r="EX7" i="1" l="1"/>
  <c r="EW8" i="1"/>
  <c r="EY7" i="1" l="1"/>
  <c r="EX8" i="1"/>
  <c r="EZ7" i="1" l="1"/>
  <c r="EY8" i="1"/>
  <c r="FA7" i="1" l="1"/>
  <c r="EZ8" i="1"/>
  <c r="FB7" i="1" l="1"/>
  <c r="FA8" i="1"/>
  <c r="FC7" i="1" l="1"/>
  <c r="FB8" i="1"/>
  <c r="FD7" i="1" l="1"/>
  <c r="FC8" i="1"/>
  <c r="FE7" i="1" l="1"/>
  <c r="FD8" i="1"/>
  <c r="FF7" i="1" l="1"/>
  <c r="FF8" i="1" s="1"/>
  <c r="FE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tc={CBD1AE78-3BF3-4ADD-9F17-73970E79AA05}</author>
    <author>tc={EFC1603D-9711-4BD1-844C-06507CF969D1}</author>
    <author>tc={DE9F6861-6103-4326-AB97-E2448F691AB7}</author>
    <author>tc={DE056F7B-989C-4034-94CA-6BF93FB1B68F}</author>
    <author>tc={5914DF78-F321-4B98-A564-C1C7FEF7D73B}</author>
    <author>tc={4B558611-FFAE-40A9-94FD-7BC9C3AA86D3}</author>
    <author>tc={65AFC9CF-BBB2-4E9E-A70F-FABF9353AFA1}</author>
    <author>tc={F71EFE43-7732-4797-9750-77A615BCBBDC}</author>
    <author>tc={C7E711AD-E578-4885-ADE2-8E121AB964E5}</author>
    <author>tc={88FBC38A-51B4-4857-9859-908C9AC6A166}</author>
    <author>tc={5A9B0E9A-F904-4539-A9F7-780207323E83}</author>
    <author>tc={BA13DE1D-B21E-45C7-BC32-B3442C2DE736}</author>
    <author>tc={60784012-0B93-41A3-9D6E-730D48697865}</author>
    <author>tc={D4701922-CD1C-41D4-B331-B7E65C9379C7}</author>
    <author>tc={ACCE852B-B605-48D7-84EA-930748EE78F1}</author>
    <author>tc={B4D2C22D-AB87-49B0-AB9A-08993C7DF1EF}</author>
    <author>tc={3074C804-FC9D-422D-B408-3E6B16F427EC}</author>
    <author>tc={15D9C225-E4B5-4ED5-884F-A331D0290874}</author>
    <author>tc={2A3E3BBB-22E2-4BDB-8E38-74C6C7F843D5}</author>
  </authors>
  <commentList>
    <comment ref="CV10" authorId="0" shapeId="0" xr:uid="{CBD1AE78-3BF3-4ADD-9F17-73970E79AA05}">
      <text>
        <t>[Threaded comment]
Your version of Excel allows you to read this threaded comment; however, any edits to it will get removed if the file is opened in a newer version of Excel. Learn more: https://go.microsoft.com/fwlink/?linkid=870924
Comment:
    6kg batches, LM40/VBE sieve</t>
      </text>
    </comment>
    <comment ref="DI10" authorId="1" shapeId="0" xr:uid="{EFC1603D-9711-4BD1-844C-06507CF969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RC
</t>
      </text>
    </comment>
    <comment ref="DX10" authorId="2" shapeId="0" xr:uid="{DE9F6861-6103-4326-AB97-E2448F691A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 batches, small, includes RC, film coat
Reply:
    10mg dose, changing FDC; low and high 0616; low/high disintegrant - 
Reply:
    Current bottleneck is 1213 and FC vs PODs and 1708
Reply:
    Discuss major clean strategy </t>
      </text>
    </comment>
    <comment ref="BP12" authorId="3" shapeId="0" xr:uid="{DE056F7B-989C-4034-94CA-6BF93FB1B68F}">
      <text>
        <t>[Threaded comment]
Your version of Excel allows you to read this threaded comment; however, any edits to it will get removed if the file is opened in a newer version of Excel. Learn more: https://go.microsoft.com/fwlink/?linkid=870924
Comment:
    End: 26Apr
Michelle, Wesley, Ray (Jan if available)</t>
      </text>
    </comment>
    <comment ref="BS12" authorId="4" shapeId="0" xr:uid="{5914DF78-F321-4B98-A564-C1C7FEF7D73B}">
      <text>
        <t>[Threaded comment]
Your version of Excel allows you to read this threaded comment; however, any edits to it will get removed if the file is opened in a newer version of Excel. Learn more: https://go.microsoft.com/fwlink/?linkid=870924
Comment:
    Blending Start: 29Apr
Blending End: 03May
Encapsulation Start: 06May
Encapsulation End: 31May
Michelle, Wesley, Ray (Jan if available)</t>
      </text>
    </comment>
    <comment ref="BX12" authorId="5" shapeId="0" xr:uid="{4B558611-FFAE-40A9-94FD-7BC9C3AA86D3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bar dosator, wider outlet, and empty capsule discharge
Start: 03Jun
End: 28Jun
Michelle, Wesley, Ray (Jan if available)</t>
      </text>
    </comment>
    <comment ref="CH12" authorId="6" shapeId="0" xr:uid="{65AFC9CF-BBB2-4E9E-A70F-FABF9353AF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DDT FAT
</t>
      </text>
    </comment>
    <comment ref="CP12" authorId="7" shapeId="0" xr:uid="{F71EFE43-7732-4797-9750-77A615BCBBDC}">
      <text>
        <t>[Threaded comment]
Your version of Excel allows you to read this threaded comment; however, any edits to it will get removed if the file is opened in a newer version of Excel. Learn more: https://go.microsoft.com/fwlink/?linkid=870924
Comment:
    Install and commissioning, automation</t>
      </text>
    </comment>
    <comment ref="DH13" authorId="8" shapeId="0" xr:uid="{C7E711AD-E578-4885-ADE2-8E121AB964E5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have to be in 1263 as film coating needed for 8527</t>
      </text>
    </comment>
    <comment ref="DI13" authorId="9" shapeId="0" xr:uid="{88FBC38A-51B4-4857-9859-908C9AC6A166}">
      <text>
        <t>[Threaded comment]
Your version of Excel allows you to read this threaded comment; however, any edits to it will get removed if the file is opened in a newer version of Excel. Learn more: https://go.microsoft.com/fwlink/?linkid=870924
Comment:
    Go/No-Go in Dec 2024
Reply:
    ~1000 each dose and stable humidity control</t>
      </text>
    </comment>
    <comment ref="DO13" authorId="10" shapeId="0" xr:uid="{5A9B0E9A-F904-4539-A9F7-780207323E83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mid-Oct once DCT forms
Reply:
    2 potencies; 15k &amp; 10k worst case</t>
      </text>
    </comment>
    <comment ref="DU13" authorId="11" shapeId="0" xr:uid="{BA13DE1D-B21E-45C7-BC32-B3442C2DE736}">
      <text>
        <t>[Threaded comment]
Your version of Excel allows you to read this threaded comment; however, any edits to it will get removed if the file is opened in a newer version of Excel. Learn more: https://go.microsoft.com/fwlink/?linkid=870924
Comment:
    Tight timelines if any previous slip
Reply:
    Would optimistically fit into 3214 if a no-go</t>
      </text>
    </comment>
    <comment ref="DV13" authorId="12" shapeId="0" xr:uid="{60784012-0B93-41A3-9D6E-730D48697865}">
      <text>
        <t>[Threaded comment]
Your version of Excel allows you to read this threaded comment; however, any edits to it will get removed if the file is opened in a newer version of Excel. Learn more: https://go.microsoft.com/fwlink/?linkid=870924
Comment:
    Tight timelines if any previous slip
Reply:
    Would optimistically fit into 3214 if a no-go</t>
      </text>
    </comment>
    <comment ref="DW13" authorId="13" shapeId="0" xr:uid="{D4701922-CD1C-41D4-B331-B7E65C9379C7}">
      <text>
        <t>[Threaded comment]
Your version of Excel allows you to read this threaded comment; however, any edits to it will get removed if the file is opened in a newer version of Excel. Learn more: https://go.microsoft.com/fwlink/?linkid=870924
Comment:
    Tight timelines if any previous slip
Reply:
    Would optimistically fit into 3214 if a no-go</t>
      </text>
    </comment>
    <comment ref="DK14" authorId="14" shapeId="0" xr:uid="{ACCE852B-B605-48D7-84EA-930748EE78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Forecasting needed
</t>
      </text>
    </comment>
    <comment ref="DI15" authorId="15" shapeId="0" xr:uid="{B4D2C22D-AB87-49B0-AB9A-08993C7DF1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Refresh schedule with day-for-day plan and Dec test batch experience</t>
      </text>
    </comment>
    <comment ref="DW15" authorId="16" shapeId="0" xr:uid="{3074C804-FC9D-422D-B408-3E6B16F427EC}">
      <text>
        <t>[Threaded comment]
Your version of Excel allows you to read this threaded comment; however, any edits to it will get removed if the file is opened in a newer version of Excel. Learn more: https://go.microsoft.com/fwlink/?linkid=870924
Comment:
    2 batches, may be more than 2
Reply:
    More info to come in Nov
Reply:
    &gt;10k prefer autoencaps</t>
      </text>
    </comment>
    <comment ref="A36" authorId="17" shapeId="0" xr:uid="{15D9C225-E4B5-4ED5-884F-A331D029087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https://collaboration.merck.com/sites/FLExCenter2/Shared%20Documents/Oral%20Solid%20Dosage/Facility/Master%20Equipment%20List.xlsx?web=1</t>
      </text>
    </comment>
    <comment ref="A79" authorId="18" shapeId="0" xr:uid="{2A3E3BBB-22E2-4BDB-8E38-74C6C7F843D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https://mydrive.merck.com/personal/clancjam_merck_com/Documents/documents/PharmOps/OSD%20Supervisor%20Activities/Communications/FLEx%20OSD%20VBEs.pptx?web=1</t>
      </text>
    </comment>
  </commentList>
</comments>
</file>

<file path=xl/sharedStrings.xml><?xml version="1.0" encoding="utf-8"?>
<sst xmlns="http://schemas.openxmlformats.org/spreadsheetml/2006/main" count="2862" uniqueCount="440">
  <si>
    <t>Pharm Ops - Non-Sterile</t>
  </si>
  <si>
    <t>1Q Sched Metrics</t>
  </si>
  <si>
    <t>PE Utilization</t>
  </si>
  <si>
    <t>Room Utiliz</t>
  </si>
  <si>
    <t>Equip Utilization</t>
  </si>
  <si>
    <t>2Q Sched Metrics</t>
  </si>
  <si>
    <t>3Q Sched Metrics</t>
  </si>
  <si>
    <t>4Q Sched Metrics</t>
  </si>
  <si>
    <t>880 OSD Schedule</t>
  </si>
  <si>
    <t>1Q2023</t>
  </si>
  <si>
    <t>2Q2023</t>
  </si>
  <si>
    <t>3Q2023</t>
  </si>
  <si>
    <t>4Q2023</t>
  </si>
  <si>
    <t>1Q2024</t>
  </si>
  <si>
    <t>2Q2024</t>
  </si>
  <si>
    <t>3Q2024</t>
  </si>
  <si>
    <t>4Q2024</t>
  </si>
  <si>
    <t>1Q2025</t>
  </si>
  <si>
    <t>2Q2025</t>
  </si>
  <si>
    <t>3Q2025</t>
  </si>
  <si>
    <t>4Q2025</t>
  </si>
  <si>
    <t>Development Batches in Green</t>
  </si>
  <si>
    <r>
      <t xml:space="preserve">GMP Batches in Blue (GCS FPU Pkg in </t>
    </r>
    <r>
      <rPr>
        <b/>
        <sz val="14"/>
        <color theme="1"/>
        <rFont val="Invention"/>
        <family val="2"/>
      </rPr>
      <t>BOLD</t>
    </r>
    <r>
      <rPr>
        <sz val="14"/>
        <color theme="1"/>
        <rFont val="Invention"/>
        <family val="2"/>
      </rPr>
      <t>)</t>
    </r>
  </si>
  <si>
    <t>Maintenance (link to plan)</t>
  </si>
  <si>
    <t>Mem day</t>
  </si>
  <si>
    <t>Juneteenth</t>
  </si>
  <si>
    <t>MTS</t>
  </si>
  <si>
    <t>Train unavailable due to parallel work/room limitations</t>
  </si>
  <si>
    <t>Safety Audit</t>
  </si>
  <si>
    <t>Internal Audit</t>
  </si>
  <si>
    <t>Anna OOO</t>
  </si>
  <si>
    <t>SporKlenz</t>
  </si>
  <si>
    <t>AAPS</t>
  </si>
  <si>
    <t>4Q safety</t>
  </si>
  <si>
    <t>Tsgiving</t>
  </si>
  <si>
    <t xml:space="preserve">Shutdown </t>
  </si>
  <si>
    <t>PASX BLACKOUT</t>
  </si>
  <si>
    <t>Week starting</t>
  </si>
  <si>
    <t>ISO week</t>
  </si>
  <si>
    <t>Process</t>
  </si>
  <si>
    <t>Shutdown</t>
  </si>
  <si>
    <t>Bring up</t>
  </si>
  <si>
    <t>Tablet Compression (A1) - XL100</t>
  </si>
  <si>
    <t>MK-1084 Setup</t>
  </si>
  <si>
    <t>Batch 1</t>
  </si>
  <si>
    <t>Cleaning</t>
  </si>
  <si>
    <t>Holiday</t>
  </si>
  <si>
    <t>Bringup</t>
  </si>
  <si>
    <t>MK-1084 setup</t>
  </si>
  <si>
    <t>MK-1084</t>
  </si>
  <si>
    <t xml:space="preserve">Cleaning, swab; </t>
  </si>
  <si>
    <t>Setup (IH-740 testing)</t>
  </si>
  <si>
    <t>MK-6552</t>
  </si>
  <si>
    <t>Swab, micro challenge</t>
  </si>
  <si>
    <t>Swab/PM</t>
  </si>
  <si>
    <t>Training</t>
  </si>
  <si>
    <t>inc hold</t>
  </si>
  <si>
    <t>waiting HEPA replacement</t>
  </si>
  <si>
    <t>Setup</t>
  </si>
  <si>
    <t>MK-8507 1 batch</t>
  </si>
  <si>
    <t>VRL challenge release</t>
  </si>
  <si>
    <t>MK-1084 Conv x 2</t>
  </si>
  <si>
    <t>Blend, RC, XL100</t>
  </si>
  <si>
    <t>MK-3543</t>
  </si>
  <si>
    <t>Clean</t>
  </si>
  <si>
    <t>Dev MK-8527</t>
  </si>
  <si>
    <t>MK-8527 1 batch</t>
  </si>
  <si>
    <t>MK-6916</t>
  </si>
  <si>
    <t>VRL Challenge</t>
  </si>
  <si>
    <t>XXXX Clinical Batch</t>
  </si>
  <si>
    <t>MK-0616 FDC</t>
  </si>
  <si>
    <t>MK-0616 PEDS</t>
  </si>
  <si>
    <t>Tablet Compression (A2) - XM12</t>
  </si>
  <si>
    <t>Move XM12</t>
  </si>
  <si>
    <t>Testing</t>
  </si>
  <si>
    <t>Training - setup/disassembly</t>
  </si>
  <si>
    <t>Downtime</t>
  </si>
  <si>
    <t>IH740</t>
  </si>
  <si>
    <t>PM/Setup</t>
  </si>
  <si>
    <t>CV PTM-300</t>
  </si>
  <si>
    <t xml:space="preserve">CV PTM-300 </t>
  </si>
  <si>
    <t>XM12 training</t>
  </si>
  <si>
    <t>XM 12 CV</t>
  </si>
  <si>
    <t>Turnaround</t>
  </si>
  <si>
    <t>Tablet production for film coater shakedown</t>
  </si>
  <si>
    <t>XL100 CV in 119</t>
  </si>
  <si>
    <t>MK-1084 Dev batch</t>
  </si>
  <si>
    <t>Korsch training</t>
  </si>
  <si>
    <t>F/E</t>
  </si>
  <si>
    <t xml:space="preserve">MK-1084 </t>
  </si>
  <si>
    <t>PTM300 Introduction</t>
  </si>
  <si>
    <t>XM12 to 1251 Storage</t>
  </si>
  <si>
    <t>FC:</t>
  </si>
  <si>
    <t>MK-8527</t>
  </si>
  <si>
    <t>available only if 1242 setup available and free from TSG</t>
  </si>
  <si>
    <t>GLP1?</t>
  </si>
  <si>
    <t xml:space="preserve">GLP 1? Including spray dryer </t>
  </si>
  <si>
    <t xml:space="preserve">GLP1 </t>
  </si>
  <si>
    <t>GLP1</t>
  </si>
  <si>
    <t>Autoencapsulator (B)</t>
  </si>
  <si>
    <t>MK-1942 Setup</t>
  </si>
  <si>
    <t>Dev</t>
  </si>
  <si>
    <t>Batch 2</t>
  </si>
  <si>
    <t>MK-1167 Setup</t>
  </si>
  <si>
    <t>Batch 1 Dev</t>
  </si>
  <si>
    <t>MK-1167</t>
  </si>
  <si>
    <t>Troubleshoot</t>
  </si>
  <si>
    <t>Requal</t>
  </si>
  <si>
    <t>Cleaning to potent</t>
  </si>
  <si>
    <t>Troubleshoot, qual new springs, improvements</t>
  </si>
  <si>
    <t>testing</t>
  </si>
  <si>
    <t>Troubleshoot and Spring qual</t>
  </si>
  <si>
    <t>MECH</t>
  </si>
  <si>
    <t>Ranged Formulation testing</t>
  </si>
  <si>
    <t>Mech improvement testing</t>
  </si>
  <si>
    <t>Ionization testing</t>
  </si>
  <si>
    <t>Ionization install</t>
  </si>
  <si>
    <t>hold for doc</t>
  </si>
  <si>
    <t>Bar dosator install</t>
  </si>
  <si>
    <t>DDT FAT</t>
  </si>
  <si>
    <t xml:space="preserve"> </t>
  </si>
  <si>
    <t xml:space="preserve">Deduster </t>
  </si>
  <si>
    <t>DDT arrives (earliest)</t>
  </si>
  <si>
    <t>Size OO</t>
  </si>
  <si>
    <t>Size 4</t>
  </si>
  <si>
    <t>Install &amp; Automation</t>
  </si>
  <si>
    <t>SAT</t>
  </si>
  <si>
    <t>IOQ</t>
  </si>
  <si>
    <t>Automation AOQ</t>
  </si>
  <si>
    <t>AOQ</t>
  </si>
  <si>
    <t>Move to 1212</t>
  </si>
  <si>
    <t>Drum dosing trolley testing</t>
  </si>
  <si>
    <t>ModuC PQ</t>
  </si>
  <si>
    <t>DDT PQ</t>
  </si>
  <si>
    <t>Tamping pin PQ</t>
  </si>
  <si>
    <t xml:space="preserve">MK-3543 </t>
  </si>
  <si>
    <t>consider 1708??</t>
  </si>
  <si>
    <t>move to 1261</t>
  </si>
  <si>
    <t>MK-1708 Autoencapsulation batches?</t>
  </si>
  <si>
    <t>see potent</t>
  </si>
  <si>
    <t>Manual Encapsulation (C )</t>
  </si>
  <si>
    <t>MK-8527 Setup</t>
  </si>
  <si>
    <t>MK-8591</t>
  </si>
  <si>
    <t>MK-4318 PBO dev</t>
  </si>
  <si>
    <t>New ICAPS Qual</t>
  </si>
  <si>
    <t>MK-8591 1mg</t>
  </si>
  <si>
    <t>MK-6552 1MG</t>
  </si>
  <si>
    <t xml:space="preserve">DFB turnaround </t>
  </si>
  <si>
    <t>MK-6878</t>
  </si>
  <si>
    <t>iCaps and Sade/Sejong CV</t>
  </si>
  <si>
    <t>MK-4646</t>
  </si>
  <si>
    <t>MK-3214</t>
  </si>
  <si>
    <t>MOVE MANUAL ENCAPS to 1213</t>
  </si>
  <si>
    <t>MK-1708 x4</t>
  </si>
  <si>
    <t>MK-1708</t>
  </si>
  <si>
    <t>MK-7526</t>
  </si>
  <si>
    <t>MK-2828 3 batches 5-10k; early Aug preference</t>
  </si>
  <si>
    <t>Spray Drying (D)</t>
  </si>
  <si>
    <t>Spray Drying DoE</t>
  </si>
  <si>
    <t>DoE week 2</t>
  </si>
  <si>
    <t>DoE week 3</t>
  </si>
  <si>
    <t>DoE week 4</t>
  </si>
  <si>
    <t>Spray Dryer Testing</t>
  </si>
  <si>
    <t>Spray Dryer Shutdown</t>
  </si>
  <si>
    <t>PMs</t>
  </si>
  <si>
    <t>GES</t>
  </si>
  <si>
    <t>Mech</t>
  </si>
  <si>
    <t>GEA onsite</t>
  </si>
  <si>
    <t>Spray Dry</t>
  </si>
  <si>
    <t>Hold</t>
  </si>
  <si>
    <t>Dev Clean</t>
  </si>
  <si>
    <t>Tray dryer testing</t>
  </si>
  <si>
    <t>GMP Clean</t>
  </si>
  <si>
    <t>HMPCAS - two fluid - short</t>
  </si>
  <si>
    <t>MK-7480 placebo dev batch</t>
  </si>
  <si>
    <t>Clean and reset</t>
  </si>
  <si>
    <t>Sanitization hold</t>
  </si>
  <si>
    <t>Spray Dryer PM Shutdown</t>
  </si>
  <si>
    <t>NaCap</t>
  </si>
  <si>
    <t>GMP Clean and reset</t>
  </si>
  <si>
    <t>GMP Clean, sanitize, and reset</t>
  </si>
  <si>
    <t>Sodium caprate and mannitol spray test</t>
  </si>
  <si>
    <t>XXXX Development</t>
  </si>
  <si>
    <t>GLP 1 spray?</t>
  </si>
  <si>
    <t xml:space="preserve">Potent (E ) </t>
  </si>
  <si>
    <t>EP-200 CV</t>
  </si>
  <si>
    <t>EP-200CV</t>
  </si>
  <si>
    <t>Placebo batch 1</t>
  </si>
  <si>
    <t>Placebo Batch2</t>
  </si>
  <si>
    <t>Qualification</t>
  </si>
  <si>
    <t xml:space="preserve">Testing Harro </t>
  </si>
  <si>
    <t>Formulation testing</t>
  </si>
  <si>
    <t>OEB 5 isolator testing/ICAPS</t>
  </si>
  <si>
    <t>Potent setup</t>
  </si>
  <si>
    <t>Dry run</t>
  </si>
  <si>
    <t>B-5250 GMP</t>
  </si>
  <si>
    <t>Minor Clean</t>
  </si>
  <si>
    <t>B-5250 Pkg</t>
  </si>
  <si>
    <t>Results</t>
  </si>
  <si>
    <t>MK-2420</t>
  </si>
  <si>
    <t>MK-0472</t>
  </si>
  <si>
    <t xml:space="preserve">MK-2420 </t>
  </si>
  <si>
    <t>Autoinjector (F)</t>
  </si>
  <si>
    <t>Arrival</t>
  </si>
  <si>
    <t>Installation</t>
  </si>
  <si>
    <t>PQ</t>
  </si>
  <si>
    <t>AIQ</t>
  </si>
  <si>
    <t>Prep</t>
  </si>
  <si>
    <t>Dev Batch</t>
  </si>
  <si>
    <t>MK-7962Dev/ training batch</t>
  </si>
  <si>
    <t>MK-7962 GMP batch</t>
  </si>
  <si>
    <t>MRT Water</t>
  </si>
  <si>
    <t>Exit calibration</t>
  </si>
  <si>
    <t>Move Auto injector out, TSG in for SAT/IQ/OQ</t>
  </si>
  <si>
    <t>Then XM12 with RC and PTM300? 1214 becomes Manual Encaps room, 1213 back to FC</t>
  </si>
  <si>
    <t>Bottle Filling/Liquid (G)</t>
  </si>
  <si>
    <t>Water testing</t>
  </si>
  <si>
    <t>Dev batch</t>
  </si>
  <si>
    <t>Reset</t>
  </si>
  <si>
    <t>GMP batch</t>
  </si>
  <si>
    <t>MK-1708 GMP batch</t>
  </si>
  <si>
    <t>MK-1708 Batch 2</t>
  </si>
  <si>
    <t>Other (H)</t>
  </si>
  <si>
    <t>HME Automation Testing</t>
  </si>
  <si>
    <t>HME PMs?</t>
  </si>
  <si>
    <t>HME testing (Intern project)</t>
  </si>
  <si>
    <t>HME testing</t>
  </si>
  <si>
    <t>Film coater</t>
  </si>
  <si>
    <t>shake down</t>
  </si>
  <si>
    <t>shakedown</t>
  </si>
  <si>
    <t>MK-1084 FC PBO Dev</t>
  </si>
  <si>
    <t>MK-1084 FC Dev</t>
  </si>
  <si>
    <t>HME</t>
  </si>
  <si>
    <t>HME shakedown</t>
  </si>
  <si>
    <t>Move FC to 1251, prep 1213 for manual encaps</t>
  </si>
  <si>
    <t>MK-0616 PEDS w/ film coat</t>
  </si>
  <si>
    <t>New equipment introduction</t>
  </si>
  <si>
    <t>Non processing activities (I)</t>
  </si>
  <si>
    <t>MECO Skid work</t>
  </si>
  <si>
    <t>Profill practice</t>
  </si>
  <si>
    <t>Sporcleanz</t>
  </si>
  <si>
    <t>15-tours</t>
  </si>
  <si>
    <t>20-BYKTWD;  21-Safety standdown</t>
  </si>
  <si>
    <t>29-AH reg (1-3pm window)</t>
  </si>
  <si>
    <t>Sade weight sorter investigation testing</t>
  </si>
  <si>
    <t>Clean HME</t>
  </si>
  <si>
    <t>Sejong Weight sorter IQ/OQ/AOQ</t>
  </si>
  <si>
    <t>Hammermill CV</t>
  </si>
  <si>
    <t>Russell Sieve</t>
  </si>
  <si>
    <t>Move HME</t>
  </si>
  <si>
    <t>MRT, TSG, HME - room and equip move plan</t>
  </si>
  <si>
    <t>Process Engineer</t>
  </si>
  <si>
    <t>Patrick</t>
  </si>
  <si>
    <t>E</t>
  </si>
  <si>
    <t>H</t>
  </si>
  <si>
    <t>B/A1</t>
  </si>
  <si>
    <t>Mike</t>
  </si>
  <si>
    <t>A</t>
  </si>
  <si>
    <t>A/G</t>
  </si>
  <si>
    <t>C</t>
  </si>
  <si>
    <t>C/A</t>
  </si>
  <si>
    <t>G</t>
  </si>
  <si>
    <t>G/I</t>
  </si>
  <si>
    <t>I</t>
  </si>
  <si>
    <t>C/I</t>
  </si>
  <si>
    <t>A1/I</t>
  </si>
  <si>
    <t>Sergio</t>
  </si>
  <si>
    <t>D</t>
  </si>
  <si>
    <t>A1</t>
  </si>
  <si>
    <t>Rob</t>
  </si>
  <si>
    <t>F</t>
  </si>
  <si>
    <t>E,F</t>
  </si>
  <si>
    <t>B</t>
  </si>
  <si>
    <t>Syed</t>
  </si>
  <si>
    <t>E, A</t>
  </si>
  <si>
    <t>Joe</t>
  </si>
  <si>
    <t>James T</t>
  </si>
  <si>
    <t>A2</t>
  </si>
  <si>
    <t>A2/D</t>
  </si>
  <si>
    <t>Liam</t>
  </si>
  <si>
    <t>Sadia</t>
  </si>
  <si>
    <t>Gabriella</t>
  </si>
  <si>
    <t>Jan</t>
  </si>
  <si>
    <t>Equipment</t>
  </si>
  <si>
    <t>Utilization (out of 13 *major)</t>
  </si>
  <si>
    <t>Blenders</t>
  </si>
  <si>
    <t>LM-40 - VBE 1 (BN##)*</t>
  </si>
  <si>
    <t>A/C</t>
  </si>
  <si>
    <t>LM-40 - VBE 2 (BN##)</t>
  </si>
  <si>
    <t>LM-40 - Isolator (BN##)</t>
  </si>
  <si>
    <t>PTM-300 (BN##)*</t>
  </si>
  <si>
    <t>PM</t>
  </si>
  <si>
    <t>Sieve</t>
  </si>
  <si>
    <t>Comill</t>
  </si>
  <si>
    <t>Hammermill</t>
  </si>
  <si>
    <t>RC*</t>
  </si>
  <si>
    <t>RC 2</t>
  </si>
  <si>
    <t>XL-100*</t>
  </si>
  <si>
    <t>XM-12*</t>
  </si>
  <si>
    <t>MOVE IN XM12</t>
  </si>
  <si>
    <t>HEPA</t>
  </si>
  <si>
    <t>Film Coater*</t>
  </si>
  <si>
    <t>Profill 1*</t>
  </si>
  <si>
    <t>Profill 2</t>
  </si>
  <si>
    <t>Harro*</t>
  </si>
  <si>
    <t>MOVE TO 1261</t>
  </si>
  <si>
    <t>Icaps</t>
  </si>
  <si>
    <t>Short ICAPS</t>
  </si>
  <si>
    <t>Sade Weight Sorter</t>
  </si>
  <si>
    <t>Sejong Weight Sorter 2</t>
  </si>
  <si>
    <t>Spray Dryer*</t>
  </si>
  <si>
    <t>50L Tank</t>
  </si>
  <si>
    <t>20, 100 L tanks</t>
  </si>
  <si>
    <t>HME*</t>
  </si>
  <si>
    <t>HME audit trail automation</t>
  </si>
  <si>
    <t>Isolators*</t>
  </si>
  <si>
    <t>Autoinjector* (MRT)</t>
  </si>
  <si>
    <t>TSG</t>
  </si>
  <si>
    <t>Rooms</t>
  </si>
  <si>
    <t>A2/A1</t>
  </si>
  <si>
    <t>A1/B</t>
  </si>
  <si>
    <t>1167 closeout</t>
  </si>
  <si>
    <t>PM - DFB</t>
  </si>
  <si>
    <t>VBEs</t>
  </si>
  <si>
    <t>LM40 Blender VBE #4</t>
  </si>
  <si>
    <t>Manual Encap 1 of 2 #6</t>
  </si>
  <si>
    <t>Manual Encap 2 of 2 # 7</t>
  </si>
  <si>
    <t>Solvent 9</t>
  </si>
  <si>
    <t>Large, well vert space 11</t>
  </si>
  <si>
    <t>OOS/1251</t>
  </si>
  <si>
    <t>Large, cont liner, vert space 12</t>
  </si>
  <si>
    <t>LM40 Blender 13, OOS</t>
  </si>
  <si>
    <t xml:space="preserve"> Small IPC 16</t>
  </si>
  <si>
    <t>Engineers</t>
  </si>
  <si>
    <t>0-Patrick</t>
  </si>
  <si>
    <t>1-Mike</t>
  </si>
  <si>
    <t>2-Sergio</t>
  </si>
  <si>
    <t>3-Rob</t>
  </si>
  <si>
    <t>4-Syed</t>
  </si>
  <si>
    <t>5-Joe</t>
  </si>
  <si>
    <t>6-James T</t>
  </si>
  <si>
    <t>7-Liam</t>
  </si>
  <si>
    <t>8-Sadia</t>
  </si>
  <si>
    <t>9-Gabriella</t>
  </si>
  <si>
    <t>weeks</t>
  </si>
  <si>
    <t>processing-time(weeks)</t>
  </si>
  <si>
    <t>engineers</t>
  </si>
  <si>
    <t>rooms</t>
  </si>
  <si>
    <t>10-Jan</t>
  </si>
  <si>
    <t>start-0</t>
  </si>
  <si>
    <t>MK-8591-C</t>
  </si>
  <si>
    <t>MK-1167-B</t>
  </si>
  <si>
    <t>MK-3543-1-B</t>
  </si>
  <si>
    <t>MK-3543-TroubleShooting-B</t>
  </si>
  <si>
    <t>MK-3543-2-B</t>
  </si>
  <si>
    <t>MK-3543-Requal-B</t>
  </si>
  <si>
    <t>MK-3543-3-B</t>
  </si>
  <si>
    <t>MK-3543-Cleaning-B</t>
  </si>
  <si>
    <t>MK-1084GMP-D</t>
  </si>
  <si>
    <t>MK-1084Dev-D</t>
  </si>
  <si>
    <t>MK-1084Setup-A1</t>
  </si>
  <si>
    <t>MK-1084-A1</t>
  </si>
  <si>
    <t>MK-1084-2-D</t>
  </si>
  <si>
    <t>Arrival-F</t>
  </si>
  <si>
    <t>Installation-F</t>
  </si>
  <si>
    <t>SAT-F</t>
  </si>
  <si>
    <t>Setup-G</t>
  </si>
  <si>
    <t>WaterTesting-G</t>
  </si>
  <si>
    <t>Cleaning-G</t>
  </si>
  <si>
    <t>Dev-G</t>
  </si>
  <si>
    <t>Reset-G</t>
  </si>
  <si>
    <t>GMP-G</t>
  </si>
  <si>
    <t>end-0</t>
  </si>
  <si>
    <t>task-index</t>
  </si>
  <si>
    <t>task-name</t>
  </si>
  <si>
    <t>s</t>
  </si>
  <si>
    <t>f</t>
  </si>
  <si>
    <t>Start_Date</t>
  </si>
  <si>
    <t>Finish_Date</t>
  </si>
  <si>
    <t>2023-09-03</t>
  </si>
  <si>
    <t>2023-11-05</t>
  </si>
  <si>
    <t>2023-12-24</t>
  </si>
  <si>
    <t>2023-11-26</t>
  </si>
  <si>
    <t>2023-10-01</t>
  </si>
  <si>
    <t>2023-10-08</t>
  </si>
  <si>
    <t>2023-10-15</t>
  </si>
  <si>
    <t>2023-10-22</t>
  </si>
  <si>
    <t>2023-10-29</t>
  </si>
  <si>
    <t>2023-11-12</t>
  </si>
  <si>
    <t>2024-01-07</t>
  </si>
  <si>
    <t>2023-12-03</t>
  </si>
  <si>
    <t>2023-12-31</t>
  </si>
  <si>
    <t>2023-09-24</t>
  </si>
  <si>
    <t>2023-09-10</t>
  </si>
  <si>
    <t>2023-09-17</t>
  </si>
  <si>
    <t>2023-11-19</t>
  </si>
  <si>
    <t>2023-12-17</t>
  </si>
  <si>
    <t>EP-200-E</t>
  </si>
  <si>
    <t>1-C</t>
  </si>
  <si>
    <t>2-B</t>
  </si>
  <si>
    <t>3-B</t>
  </si>
  <si>
    <t>4-B</t>
  </si>
  <si>
    <t>2-B/5-B</t>
  </si>
  <si>
    <t>2-B/6-B</t>
  </si>
  <si>
    <t>7-B</t>
  </si>
  <si>
    <t>8-B</t>
  </si>
  <si>
    <t>9-D</t>
  </si>
  <si>
    <t>10-D</t>
  </si>
  <si>
    <t>3-B/11-A1</t>
  </si>
  <si>
    <t>11-A1</t>
  </si>
  <si>
    <t>12-A1</t>
  </si>
  <si>
    <t>7-B/12-A1</t>
  </si>
  <si>
    <t>8-B/12-A1</t>
  </si>
  <si>
    <t>12-A1/13-D</t>
  </si>
  <si>
    <t>13-D</t>
  </si>
  <si>
    <t>14-E</t>
  </si>
  <si>
    <t>15-F</t>
  </si>
  <si>
    <t>3-B/15-F</t>
  </si>
  <si>
    <t>16-F</t>
  </si>
  <si>
    <t>3-B/16-F</t>
  </si>
  <si>
    <t>14-E/17-F</t>
  </si>
  <si>
    <t>17-F</t>
  </si>
  <si>
    <t>2-B/17-F</t>
  </si>
  <si>
    <t>18-G</t>
  </si>
  <si>
    <t>9-D/18-G</t>
  </si>
  <si>
    <t>19-G</t>
  </si>
  <si>
    <t>9-D/19-G</t>
  </si>
  <si>
    <t>1-C/20-G</t>
  </si>
  <si>
    <t>9-D/20-G</t>
  </si>
  <si>
    <t>1-C/21-G</t>
  </si>
  <si>
    <t>10-D/21-G</t>
  </si>
  <si>
    <t>1-C/22-G</t>
  </si>
  <si>
    <t>10-D/22-G</t>
  </si>
  <si>
    <t>12-A1/23-G</t>
  </si>
  <si>
    <t>10-D/23-G</t>
  </si>
  <si>
    <t>12-A1/24-G</t>
  </si>
  <si>
    <t>24-G</t>
  </si>
  <si>
    <t>number of process</t>
  </si>
  <si>
    <t>process engineers</t>
  </si>
  <si>
    <t>equipment 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</si>
</sst>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2"/>
      <color theme="1"/>
      <name val="Invention"/>
      <family val="2"/>
    </font>
    <font>
      <sz val="11"/>
      <color theme="1"/>
      <name val="Invention"/>
      <family val="2"/>
    </font>
    <font>
      <b/>
      <sz val="22"/>
      <color theme="1"/>
      <name val="Invention"/>
      <family val="2"/>
    </font>
    <font>
      <b/>
      <sz val="11"/>
      <color theme="0"/>
      <name val="Invention"/>
      <family val="2"/>
    </font>
    <font>
      <sz val="16"/>
      <color theme="1"/>
      <name val="Invention"/>
      <family val="2"/>
    </font>
    <font>
      <sz val="12"/>
      <color theme="1"/>
      <name val="Invention"/>
      <family val="2"/>
    </font>
    <font>
      <sz val="22"/>
      <color theme="1"/>
      <name val="Invention Light"/>
      <family val="2"/>
    </font>
    <font>
      <sz val="36"/>
      <color theme="1"/>
      <name val="Invention Light"/>
      <family val="2"/>
    </font>
    <font>
      <sz val="14"/>
      <color theme="3" tint="-0.499984740745262"/>
      <name val="Invention"/>
      <family val="2"/>
    </font>
    <font>
      <b/>
      <sz val="14"/>
      <color theme="3" tint="-0.499984740745262"/>
      <name val="Invention"/>
      <family val="2"/>
    </font>
    <font>
      <sz val="16"/>
      <color theme="1"/>
      <name val="Invention Light"/>
      <family val="2"/>
    </font>
    <font>
      <i/>
      <sz val="22"/>
      <color theme="1"/>
      <name val="Invention"/>
      <family val="2"/>
    </font>
    <font>
      <sz val="14"/>
      <color theme="1"/>
      <name val="Invention Light"/>
      <family val="2"/>
    </font>
    <font>
      <sz val="14"/>
      <color theme="1"/>
      <name val="Invention"/>
      <family val="2"/>
    </font>
    <font>
      <sz val="8"/>
      <color theme="1"/>
      <name val="Invention"/>
      <family val="2"/>
    </font>
    <font>
      <i/>
      <sz val="18"/>
      <color theme="1"/>
      <name val="Invention"/>
      <family val="2"/>
    </font>
    <font>
      <sz val="11"/>
      <color theme="0"/>
      <name val="Invention"/>
      <family val="2"/>
    </font>
    <font>
      <sz val="14"/>
      <color theme="9" tint="0.59999389629810485"/>
      <name val="Invention"/>
      <family val="2"/>
    </font>
    <font>
      <sz val="14"/>
      <name val="Invention"/>
      <family val="2"/>
    </font>
    <font>
      <sz val="8"/>
      <color theme="3" tint="-0.499984740745262"/>
      <name val="Invention"/>
      <family val="2"/>
    </font>
    <font>
      <sz val="9"/>
      <color theme="3" tint="-0.499984740745262"/>
      <name val="Invention"/>
      <family val="2"/>
    </font>
    <font>
      <sz val="11"/>
      <color theme="9" tint="0.59999389629810485"/>
      <name val="Invention"/>
      <family val="2"/>
    </font>
    <font>
      <sz val="9"/>
      <color theme="1"/>
      <name val="Invention"/>
      <family val="2"/>
    </font>
    <font>
      <sz val="12"/>
      <color theme="3" tint="-0.499984740745262"/>
      <name val="Invention"/>
      <family val="2"/>
    </font>
    <font>
      <sz val="10"/>
      <color theme="3" tint="-0.499984740745262"/>
      <name val="Invention"/>
      <family val="2"/>
    </font>
    <font>
      <sz val="11"/>
      <color theme="3" tint="-0.499984740745262"/>
      <name val="Invention"/>
      <family val="2"/>
    </font>
    <font>
      <sz val="12"/>
      <color theme="1"/>
      <name val="Invention Light"/>
      <family val="2"/>
    </font>
    <font>
      <sz val="11"/>
      <color theme="1"/>
      <name val="Invention"/>
      <family val="2"/>
    </font>
    <font>
      <sz val="11"/>
      <name val="Invention"/>
      <family val="2"/>
    </font>
    <font>
      <b/>
      <sz val="12"/>
      <color theme="1"/>
      <name val="Invention"/>
      <family val="2"/>
    </font>
    <font>
      <b/>
      <sz val="12"/>
      <color theme="3" tint="-0.499984740745262"/>
      <name val="Invention"/>
      <family val="2"/>
    </font>
    <font>
      <b/>
      <sz val="14"/>
      <color theme="1"/>
      <name val="Invention"/>
      <family val="2"/>
    </font>
    <font>
      <sz val="12"/>
      <color rgb="FF000000"/>
      <name val="Calibri"/>
      <family val="2"/>
    </font>
    <font>
      <sz val="12"/>
      <color rgb="FF0C2340"/>
      <name val="Invention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857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DEC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rgb="FF000000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000000"/>
      </right>
      <top/>
      <bottom style="double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1" applyNumberFormat="0" applyAlignment="0" applyProtection="0"/>
    <xf numFmtId="0" fontId="6" fillId="5" borderId="2" applyNumberFormat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9" fontId="2" fillId="0" borderId="0" applyFont="0" applyFill="0" applyBorder="0" applyAlignment="0" applyProtection="0"/>
    <xf numFmtId="0" fontId="41" fillId="0" borderId="0"/>
  </cellStyleXfs>
  <cellXfs count="276">
    <xf numFmtId="0" fontId="0" fillId="0" borderId="0" xfId="0"/>
    <xf numFmtId="0" fontId="8" fillId="10" borderId="0" xfId="0" applyFont="1" applyFill="1"/>
    <xf numFmtId="0" fontId="7" fillId="0" borderId="0" xfId="0" applyFont="1"/>
    <xf numFmtId="0" fontId="8" fillId="0" borderId="0" xfId="0" applyFont="1"/>
    <xf numFmtId="0" fontId="9" fillId="11" borderId="0" xfId="0" applyFont="1" applyFill="1"/>
    <xf numFmtId="0" fontId="8" fillId="11" borderId="0" xfId="0" applyFont="1" applyFill="1"/>
    <xf numFmtId="0" fontId="11" fillId="0" borderId="0" xfId="0" applyFont="1" applyAlignment="1">
      <alignment horizontal="center"/>
    </xf>
    <xf numFmtId="16" fontId="11" fillId="0" borderId="0" xfId="0" applyNumberFormat="1" applyFont="1" applyAlignment="1">
      <alignment horizontal="center"/>
    </xf>
    <xf numFmtId="0" fontId="13" fillId="10" borderId="0" xfId="0" applyFont="1" applyFill="1"/>
    <xf numFmtId="0" fontId="14" fillId="10" borderId="0" xfId="0" applyFont="1" applyFill="1"/>
    <xf numFmtId="0" fontId="15" fillId="0" borderId="0" xfId="0" applyFont="1"/>
    <xf numFmtId="0" fontId="15" fillId="3" borderId="0" xfId="2" applyFont="1"/>
    <xf numFmtId="0" fontId="15" fillId="6" borderId="1" xfId="5" applyFont="1" applyBorder="1"/>
    <xf numFmtId="0" fontId="16" fillId="5" borderId="2" xfId="4" applyFont="1"/>
    <xf numFmtId="0" fontId="15" fillId="2" borderId="0" xfId="1" applyFont="1"/>
    <xf numFmtId="0" fontId="15" fillId="4" borderId="1" xfId="3" applyFont="1"/>
    <xf numFmtId="0" fontId="15" fillId="7" borderId="0" xfId="6" applyFont="1"/>
    <xf numFmtId="0" fontId="13" fillId="0" borderId="0" xfId="0" applyFont="1"/>
    <xf numFmtId="0" fontId="15" fillId="11" borderId="3" xfId="0" applyFont="1" applyFill="1" applyBorder="1"/>
    <xf numFmtId="0" fontId="15" fillId="11" borderId="0" xfId="0" applyFont="1" applyFill="1"/>
    <xf numFmtId="0" fontId="15" fillId="0" borderId="0" xfId="1" applyFont="1" applyFill="1"/>
    <xf numFmtId="0" fontId="18" fillId="0" borderId="0" xfId="0" applyFont="1"/>
    <xf numFmtId="0" fontId="15" fillId="0" borderId="0" xfId="2" applyFont="1" applyFill="1"/>
    <xf numFmtId="0" fontId="16" fillId="5" borderId="8" xfId="4" applyFont="1" applyBorder="1"/>
    <xf numFmtId="0" fontId="16" fillId="5" borderId="9" xfId="4" applyFont="1" applyBorder="1"/>
    <xf numFmtId="0" fontId="15" fillId="6" borderId="10" xfId="5" applyFont="1" applyBorder="1"/>
    <xf numFmtId="0" fontId="15" fillId="6" borderId="11" xfId="5" applyFont="1" applyBorder="1"/>
    <xf numFmtId="0" fontId="15" fillId="9" borderId="12" xfId="3" applyFont="1" applyFill="1" applyBorder="1"/>
    <xf numFmtId="0" fontId="15" fillId="9" borderId="13" xfId="3" applyFont="1" applyFill="1" applyBorder="1"/>
    <xf numFmtId="0" fontId="15" fillId="3" borderId="14" xfId="2" applyFont="1" applyBorder="1"/>
    <xf numFmtId="0" fontId="15" fillId="3" borderId="4" xfId="2" applyFont="1" applyBorder="1"/>
    <xf numFmtId="0" fontId="15" fillId="3" borderId="5" xfId="2" applyFont="1" applyBorder="1"/>
    <xf numFmtId="0" fontId="15" fillId="0" borderId="6" xfId="0" applyFont="1" applyBorder="1"/>
    <xf numFmtId="0" fontId="15" fillId="2" borderId="5" xfId="1" applyFont="1" applyBorder="1"/>
    <xf numFmtId="0" fontId="15" fillId="3" borderId="10" xfId="2" applyFont="1" applyBorder="1"/>
    <xf numFmtId="0" fontId="15" fillId="2" borderId="11" xfId="1" applyFont="1" applyBorder="1"/>
    <xf numFmtId="0" fontId="15" fillId="2" borderId="15" xfId="1" applyFont="1" applyBorder="1"/>
    <xf numFmtId="0" fontId="15" fillId="3" borderId="13" xfId="2" applyFont="1" applyBorder="1"/>
    <xf numFmtId="0" fontId="15" fillId="12" borderId="5" xfId="0" applyFont="1" applyFill="1" applyBorder="1"/>
    <xf numFmtId="0" fontId="15" fillId="9" borderId="4" xfId="0" applyFont="1" applyFill="1" applyBorder="1"/>
    <xf numFmtId="0" fontId="15" fillId="9" borderId="6" xfId="0" applyFont="1" applyFill="1" applyBorder="1"/>
    <xf numFmtId="0" fontId="15" fillId="12" borderId="5" xfId="1" applyFont="1" applyFill="1" applyBorder="1"/>
    <xf numFmtId="9" fontId="8" fillId="11" borderId="0" xfId="8" applyFont="1" applyFill="1"/>
    <xf numFmtId="0" fontId="8" fillId="15" borderId="0" xfId="0" applyFont="1" applyFill="1"/>
    <xf numFmtId="0" fontId="15" fillId="16" borderId="13" xfId="3" applyFont="1" applyFill="1" applyBorder="1"/>
    <xf numFmtId="0" fontId="15" fillId="16" borderId="5" xfId="1" applyFont="1" applyFill="1" applyBorder="1"/>
    <xf numFmtId="0" fontId="15" fillId="14" borderId="0" xfId="6" applyFont="1" applyFill="1"/>
    <xf numFmtId="0" fontId="15" fillId="14" borderId="5" xfId="7" applyFont="1" applyFill="1" applyBorder="1"/>
    <xf numFmtId="0" fontId="15" fillId="14" borderId="6" xfId="7" applyFont="1" applyFill="1" applyBorder="1"/>
    <xf numFmtId="0" fontId="20" fillId="17" borderId="0" xfId="0" applyFont="1" applyFill="1"/>
    <xf numFmtId="0" fontId="19" fillId="14" borderId="0" xfId="0" applyFont="1" applyFill="1" applyAlignment="1">
      <alignment vertical="center"/>
    </xf>
    <xf numFmtId="0" fontId="20" fillId="9" borderId="4" xfId="0" applyFont="1" applyFill="1" applyBorder="1"/>
    <xf numFmtId="0" fontId="11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5" fillId="0" borderId="0" xfId="5" applyFont="1" applyFill="1" applyBorder="1"/>
    <xf numFmtId="0" fontId="16" fillId="0" borderId="2" xfId="4" applyFont="1" applyFill="1"/>
    <xf numFmtId="0" fontId="16" fillId="0" borderId="0" xfId="4" applyFont="1" applyFill="1" applyBorder="1"/>
    <xf numFmtId="0" fontId="15" fillId="0" borderId="11" xfId="5" applyFont="1" applyFill="1" applyBorder="1"/>
    <xf numFmtId="0" fontId="15" fillId="0" borderId="0" xfId="2" applyFont="1" applyFill="1" applyBorder="1"/>
    <xf numFmtId="0" fontId="15" fillId="0" borderId="0" xfId="1" applyFont="1" applyFill="1" applyBorder="1"/>
    <xf numFmtId="16" fontId="21" fillId="0" borderId="0" xfId="0" applyNumberFormat="1" applyFont="1"/>
    <xf numFmtId="0" fontId="15" fillId="14" borderId="1" xfId="3" applyFont="1" applyFill="1"/>
    <xf numFmtId="0" fontId="15" fillId="17" borderId="1" xfId="3" applyFont="1" applyFill="1"/>
    <xf numFmtId="0" fontId="15" fillId="18" borderId="1" xfId="3" applyFont="1" applyFill="1"/>
    <xf numFmtId="0" fontId="15" fillId="18" borderId="7" xfId="3" applyFont="1" applyFill="1" applyBorder="1"/>
    <xf numFmtId="0" fontId="10" fillId="11" borderId="18" xfId="4" applyFont="1" applyFill="1" applyBorder="1"/>
    <xf numFmtId="0" fontId="10" fillId="11" borderId="19" xfId="4" applyFont="1" applyFill="1" applyBorder="1"/>
    <xf numFmtId="0" fontId="10" fillId="11" borderId="20" xfId="4" applyFont="1" applyFill="1" applyBorder="1"/>
    <xf numFmtId="0" fontId="12" fillId="0" borderId="17" xfId="0" applyFont="1" applyBorder="1" applyAlignment="1">
      <alignment horizontal="right"/>
    </xf>
    <xf numFmtId="0" fontId="12" fillId="0" borderId="17" xfId="0" applyFont="1" applyBorder="1" applyAlignment="1">
      <alignment horizontal="center"/>
    </xf>
    <xf numFmtId="0" fontId="20" fillId="19" borderId="0" xfId="0" applyFont="1" applyFill="1"/>
    <xf numFmtId="0" fontId="15" fillId="11" borderId="4" xfId="0" applyFont="1" applyFill="1" applyBorder="1"/>
    <xf numFmtId="0" fontId="15" fillId="11" borderId="5" xfId="0" applyFont="1" applyFill="1" applyBorder="1"/>
    <xf numFmtId="0" fontId="15" fillId="14" borderId="4" xfId="0" applyFont="1" applyFill="1" applyBorder="1"/>
    <xf numFmtId="0" fontId="15" fillId="14" borderId="5" xfId="0" applyFont="1" applyFill="1" applyBorder="1"/>
    <xf numFmtId="0" fontId="15" fillId="19" borderId="0" xfId="0" applyFont="1" applyFill="1"/>
    <xf numFmtId="0" fontId="22" fillId="11" borderId="0" xfId="0" applyFont="1" applyFill="1" applyAlignment="1">
      <alignment horizontal="right"/>
    </xf>
    <xf numFmtId="0" fontId="23" fillId="10" borderId="0" xfId="0" applyFont="1" applyFill="1"/>
    <xf numFmtId="164" fontId="23" fillId="10" borderId="0" xfId="0" applyNumberFormat="1" applyFont="1" applyFill="1"/>
    <xf numFmtId="9" fontId="23" fillId="10" borderId="0" xfId="0" applyNumberFormat="1" applyFont="1" applyFill="1"/>
    <xf numFmtId="0" fontId="15" fillId="14" borderId="5" xfId="2" applyFont="1" applyFill="1" applyBorder="1"/>
    <xf numFmtId="0" fontId="15" fillId="14" borderId="4" xfId="7" applyFont="1" applyFill="1" applyBorder="1"/>
    <xf numFmtId="0" fontId="8" fillId="14" borderId="5" xfId="0" applyFont="1" applyFill="1" applyBorder="1"/>
    <xf numFmtId="0" fontId="15" fillId="14" borderId="4" xfId="6" applyFont="1" applyFill="1" applyBorder="1"/>
    <xf numFmtId="0" fontId="15" fillId="14" borderId="6" xfId="6" applyFont="1" applyFill="1" applyBorder="1"/>
    <xf numFmtId="0" fontId="15" fillId="19" borderId="4" xfId="6" applyFont="1" applyFill="1" applyBorder="1"/>
    <xf numFmtId="0" fontId="15" fillId="19" borderId="6" xfId="6" applyFont="1" applyFill="1" applyBorder="1"/>
    <xf numFmtId="0" fontId="15" fillId="14" borderId="11" xfId="6" applyFont="1" applyFill="1" applyBorder="1"/>
    <xf numFmtId="0" fontId="15" fillId="14" borderId="15" xfId="6" applyFont="1" applyFill="1" applyBorder="1"/>
    <xf numFmtId="0" fontId="15" fillId="0" borderId="0" xfId="7" applyFont="1" applyFill="1" applyBorder="1"/>
    <xf numFmtId="0" fontId="15" fillId="2" borderId="4" xfId="1" applyFont="1" applyBorder="1"/>
    <xf numFmtId="0" fontId="15" fillId="6" borderId="5" xfId="5" applyFont="1" applyBorder="1"/>
    <xf numFmtId="0" fontId="8" fillId="9" borderId="5" xfId="0" applyFont="1" applyFill="1" applyBorder="1"/>
    <xf numFmtId="0" fontId="15" fillId="9" borderId="5" xfId="5" applyFont="1" applyFill="1" applyBorder="1"/>
    <xf numFmtId="0" fontId="15" fillId="19" borderId="5" xfId="0" applyFont="1" applyFill="1" applyBorder="1"/>
    <xf numFmtId="0" fontId="15" fillId="9" borderId="4" xfId="2" applyFont="1" applyFill="1" applyBorder="1"/>
    <xf numFmtId="0" fontId="15" fillId="0" borderId="24" xfId="5" applyFont="1" applyFill="1" applyBorder="1"/>
    <xf numFmtId="0" fontId="15" fillId="19" borderId="0" xfId="5" applyFont="1" applyFill="1" applyBorder="1"/>
    <xf numFmtId="0" fontId="15" fillId="14" borderId="0" xfId="5" applyFont="1" applyFill="1" applyBorder="1"/>
    <xf numFmtId="0" fontId="20" fillId="14" borderId="5" xfId="0" applyFont="1" applyFill="1" applyBorder="1"/>
    <xf numFmtId="0" fontId="15" fillId="20" borderId="23" xfId="2" applyFont="1" applyFill="1" applyBorder="1"/>
    <xf numFmtId="0" fontId="25" fillId="14" borderId="5" xfId="0" applyFont="1" applyFill="1" applyBorder="1"/>
    <xf numFmtId="0" fontId="8" fillId="14" borderId="21" xfId="0" applyFont="1" applyFill="1" applyBorder="1"/>
    <xf numFmtId="0" fontId="15" fillId="14" borderId="5" xfId="6" applyFont="1" applyFill="1" applyBorder="1"/>
    <xf numFmtId="0" fontId="24" fillId="14" borderId="5" xfId="6" applyFont="1" applyFill="1" applyBorder="1"/>
    <xf numFmtId="0" fontId="15" fillId="19" borderId="6" xfId="0" applyFont="1" applyFill="1" applyBorder="1"/>
    <xf numFmtId="0" fontId="15" fillId="19" borderId="24" xfId="0" applyFont="1" applyFill="1" applyBorder="1"/>
    <xf numFmtId="0" fontId="15" fillId="21" borderId="11" xfId="1" applyFont="1" applyFill="1" applyBorder="1"/>
    <xf numFmtId="0" fontId="15" fillId="0" borderId="5" xfId="2" applyFont="1" applyFill="1" applyBorder="1"/>
    <xf numFmtId="0" fontId="20" fillId="0" borderId="6" xfId="0" applyFont="1" applyBorder="1"/>
    <xf numFmtId="0" fontId="20" fillId="0" borderId="0" xfId="0" applyFont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15" fillId="11" borderId="0" xfId="2" applyFont="1" applyFill="1" applyBorder="1"/>
    <xf numFmtId="0" fontId="8" fillId="9" borderId="0" xfId="0" applyFont="1" applyFill="1"/>
    <xf numFmtId="0" fontId="25" fillId="19" borderId="5" xfId="0" applyFont="1" applyFill="1" applyBorder="1"/>
    <xf numFmtId="0" fontId="15" fillId="0" borderId="4" xfId="1" applyFont="1" applyFill="1" applyBorder="1"/>
    <xf numFmtId="0" fontId="8" fillId="14" borderId="0" xfId="0" applyFont="1" applyFill="1"/>
    <xf numFmtId="0" fontId="8" fillId="14" borderId="16" xfId="0" applyFont="1" applyFill="1" applyBorder="1"/>
    <xf numFmtId="0" fontId="15" fillId="0" borderId="22" xfId="2" applyFont="1" applyFill="1" applyBorder="1"/>
    <xf numFmtId="0" fontId="20" fillId="9" borderId="5" xfId="0" applyFont="1" applyFill="1" applyBorder="1"/>
    <xf numFmtId="0" fontId="8" fillId="0" borderId="0" xfId="0" applyFont="1" applyAlignment="1">
      <alignment wrapText="1"/>
    </xf>
    <xf numFmtId="0" fontId="15" fillId="2" borderId="6" xfId="1" applyFont="1" applyBorder="1"/>
    <xf numFmtId="0" fontId="16" fillId="6" borderId="5" xfId="5" applyFont="1" applyBorder="1"/>
    <xf numFmtId="0" fontId="15" fillId="9" borderId="6" xfId="5" applyFont="1" applyFill="1" applyBorder="1"/>
    <xf numFmtId="0" fontId="8" fillId="14" borderId="4" xfId="0" applyFont="1" applyFill="1" applyBorder="1"/>
    <xf numFmtId="0" fontId="8" fillId="14" borderId="6" xfId="0" applyFont="1" applyFill="1" applyBorder="1"/>
    <xf numFmtId="0" fontId="15" fillId="12" borderId="11" xfId="0" applyFont="1" applyFill="1" applyBorder="1"/>
    <xf numFmtId="0" fontId="15" fillId="9" borderId="11" xfId="0" applyFont="1" applyFill="1" applyBorder="1"/>
    <xf numFmtId="0" fontId="20" fillId="9" borderId="15" xfId="0" applyFont="1" applyFill="1" applyBorder="1"/>
    <xf numFmtId="0" fontId="16" fillId="12" borderId="5" xfId="1" applyFont="1" applyFill="1" applyBorder="1"/>
    <xf numFmtId="0" fontId="15" fillId="9" borderId="5" xfId="0" applyFont="1" applyFill="1" applyBorder="1"/>
    <xf numFmtId="0" fontId="24" fillId="14" borderId="21" xfId="6" applyFont="1" applyFill="1" applyBorder="1"/>
    <xf numFmtId="0" fontId="24" fillId="14" borderId="5" xfId="0" applyFont="1" applyFill="1" applyBorder="1"/>
    <xf numFmtId="0" fontId="25" fillId="14" borderId="4" xfId="0" applyFont="1" applyFill="1" applyBorder="1"/>
    <xf numFmtId="0" fontId="25" fillId="9" borderId="16" xfId="6" applyFont="1" applyFill="1" applyBorder="1"/>
    <xf numFmtId="0" fontId="25" fillId="0" borderId="0" xfId="6" applyFont="1" applyFill="1" applyBorder="1"/>
    <xf numFmtId="0" fontId="20" fillId="9" borderId="6" xfId="0" applyFont="1" applyFill="1" applyBorder="1"/>
    <xf numFmtId="0" fontId="15" fillId="11" borderId="6" xfId="0" applyFont="1" applyFill="1" applyBorder="1"/>
    <xf numFmtId="0" fontId="20" fillId="0" borderId="21" xfId="0" applyFont="1" applyBorder="1"/>
    <xf numFmtId="0" fontId="20" fillId="11" borderId="0" xfId="0" applyFont="1" applyFill="1"/>
    <xf numFmtId="0" fontId="19" fillId="0" borderId="0" xfId="0" applyFont="1" applyAlignment="1">
      <alignment horizontal="center"/>
    </xf>
    <xf numFmtId="0" fontId="24" fillId="0" borderId="0" xfId="0" applyFont="1"/>
    <xf numFmtId="0" fontId="8" fillId="19" borderId="5" xfId="0" applyFont="1" applyFill="1" applyBorder="1"/>
    <xf numFmtId="0" fontId="8" fillId="19" borderId="6" xfId="0" applyFont="1" applyFill="1" applyBorder="1"/>
    <xf numFmtId="0" fontId="15" fillId="13" borderId="6" xfId="1" applyFont="1" applyFill="1" applyBorder="1"/>
    <xf numFmtId="0" fontId="8" fillId="9" borderId="4" xfId="0" applyFont="1" applyFill="1" applyBorder="1"/>
    <xf numFmtId="0" fontId="15" fillId="0" borderId="22" xfId="1" applyFont="1" applyFill="1" applyBorder="1"/>
    <xf numFmtId="0" fontId="15" fillId="0" borderId="16" xfId="1" applyFont="1" applyFill="1" applyBorder="1"/>
    <xf numFmtId="0" fontId="28" fillId="14" borderId="5" xfId="0" applyFont="1" applyFill="1" applyBorder="1"/>
    <xf numFmtId="0" fontId="15" fillId="9" borderId="24" xfId="0" applyFont="1" applyFill="1" applyBorder="1"/>
    <xf numFmtId="0" fontId="25" fillId="9" borderId="4" xfId="6" applyFont="1" applyFill="1" applyBorder="1"/>
    <xf numFmtId="0" fontId="13" fillId="0" borderId="25" xfId="0" applyFont="1" applyBorder="1" applyAlignment="1">
      <alignment vertical="top"/>
    </xf>
    <xf numFmtId="0" fontId="8" fillId="0" borderId="25" xfId="0" applyFont="1" applyBorder="1" applyAlignment="1">
      <alignment vertical="top"/>
    </xf>
    <xf numFmtId="0" fontId="15" fillId="0" borderId="25" xfId="0" applyFont="1" applyBorder="1" applyAlignment="1">
      <alignment vertical="top"/>
    </xf>
    <xf numFmtId="0" fontId="15" fillId="19" borderId="25" xfId="0" applyFont="1" applyFill="1" applyBorder="1" applyAlignment="1">
      <alignment vertical="top"/>
    </xf>
    <xf numFmtId="0" fontId="26" fillId="0" borderId="25" xfId="0" applyFont="1" applyBorder="1" applyAlignment="1">
      <alignment vertical="top" wrapText="1"/>
    </xf>
    <xf numFmtId="0" fontId="27" fillId="0" borderId="25" xfId="0" applyFont="1" applyBorder="1" applyAlignment="1">
      <alignment vertical="top" wrapText="1"/>
    </xf>
    <xf numFmtId="0" fontId="15" fillId="0" borderId="26" xfId="0" applyFont="1" applyBorder="1" applyAlignment="1">
      <alignment vertical="top"/>
    </xf>
    <xf numFmtId="0" fontId="8" fillId="11" borderId="25" xfId="0" applyFont="1" applyFill="1" applyBorder="1" applyAlignment="1">
      <alignment vertical="top"/>
    </xf>
    <xf numFmtId="0" fontId="15" fillId="11" borderId="25" xfId="0" applyFont="1" applyFill="1" applyBorder="1" applyAlignment="1">
      <alignment vertical="top"/>
    </xf>
    <xf numFmtId="0" fontId="8" fillId="0" borderId="25" xfId="0" applyFont="1" applyBorder="1" applyAlignment="1">
      <alignment vertical="top" wrapText="1"/>
    </xf>
    <xf numFmtId="0" fontId="16" fillId="12" borderId="5" xfId="0" applyFont="1" applyFill="1" applyBorder="1"/>
    <xf numFmtId="0" fontId="20" fillId="14" borderId="4" xfId="0" applyFont="1" applyFill="1" applyBorder="1"/>
    <xf numFmtId="0" fontId="8" fillId="9" borderId="6" xfId="0" applyFont="1" applyFill="1" applyBorder="1"/>
    <xf numFmtId="0" fontId="8" fillId="19" borderId="21" xfId="0" applyFont="1" applyFill="1" applyBorder="1"/>
    <xf numFmtId="0" fontId="15" fillId="14" borderId="4" xfId="2" applyFont="1" applyFill="1" applyBorder="1"/>
    <xf numFmtId="0" fontId="25" fillId="19" borderId="0" xfId="0" applyFont="1" applyFill="1"/>
    <xf numFmtId="0" fontId="8" fillId="19" borderId="4" xfId="0" applyFont="1" applyFill="1" applyBorder="1"/>
    <xf numFmtId="0" fontId="15" fillId="9" borderId="5" xfId="2" applyFont="1" applyFill="1" applyBorder="1"/>
    <xf numFmtId="0" fontId="13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15" fillId="19" borderId="0" xfId="0" applyFont="1" applyFill="1" applyAlignment="1">
      <alignment vertical="top"/>
    </xf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8" fillId="11" borderId="0" xfId="0" applyFont="1" applyFill="1" applyAlignment="1">
      <alignment vertical="top"/>
    </xf>
    <xf numFmtId="0" fontId="15" fillId="11" borderId="0" xfId="0" applyFont="1" applyFill="1" applyAlignment="1">
      <alignment vertical="top"/>
    </xf>
    <xf numFmtId="0" fontId="8" fillId="0" borderId="0" xfId="0" applyFont="1" applyAlignment="1">
      <alignment vertical="top" wrapText="1"/>
    </xf>
    <xf numFmtId="0" fontId="15" fillId="22" borderId="0" xfId="0" applyFont="1" applyFill="1"/>
    <xf numFmtId="0" fontId="29" fillId="11" borderId="0" xfId="0" applyFont="1" applyFill="1"/>
    <xf numFmtId="0" fontId="27" fillId="11" borderId="25" xfId="0" applyFont="1" applyFill="1" applyBorder="1" applyAlignment="1">
      <alignment vertical="top" wrapText="1"/>
    </xf>
    <xf numFmtId="0" fontId="15" fillId="12" borderId="5" xfId="2" applyFont="1" applyFill="1" applyBorder="1"/>
    <xf numFmtId="0" fontId="15" fillId="14" borderId="0" xfId="0" applyFont="1" applyFill="1"/>
    <xf numFmtId="0" fontId="15" fillId="9" borderId="15" xfId="0" applyFont="1" applyFill="1" applyBorder="1"/>
    <xf numFmtId="0" fontId="8" fillId="22" borderId="5" xfId="0" applyFont="1" applyFill="1" applyBorder="1"/>
    <xf numFmtId="0" fontId="8" fillId="11" borderId="4" xfId="0" applyFont="1" applyFill="1" applyBorder="1"/>
    <xf numFmtId="0" fontId="15" fillId="0" borderId="21" xfId="0" applyFont="1" applyBorder="1"/>
    <xf numFmtId="0" fontId="8" fillId="9" borderId="16" xfId="0" applyFont="1" applyFill="1" applyBorder="1"/>
    <xf numFmtId="0" fontId="8" fillId="11" borderId="5" xfId="0" applyFont="1" applyFill="1" applyBorder="1"/>
    <xf numFmtId="0" fontId="25" fillId="0" borderId="5" xfId="6" applyFont="1" applyFill="1" applyBorder="1"/>
    <xf numFmtId="0" fontId="21" fillId="14" borderId="27" xfId="0" applyFont="1" applyFill="1" applyBorder="1" applyAlignment="1">
      <alignment wrapText="1"/>
    </xf>
    <xf numFmtId="0" fontId="8" fillId="11" borderId="10" xfId="0" applyFont="1" applyFill="1" applyBorder="1"/>
    <xf numFmtId="0" fontId="25" fillId="12" borderId="5" xfId="2" applyFont="1" applyFill="1" applyBorder="1"/>
    <xf numFmtId="0" fontId="15" fillId="22" borderId="16" xfId="0" applyFont="1" applyFill="1" applyBorder="1"/>
    <xf numFmtId="0" fontId="8" fillId="11" borderId="22" xfId="0" applyFont="1" applyFill="1" applyBorder="1"/>
    <xf numFmtId="0" fontId="15" fillId="9" borderId="28" xfId="0" applyFont="1" applyFill="1" applyBorder="1"/>
    <xf numFmtId="0" fontId="27" fillId="19" borderId="4" xfId="0" applyFont="1" applyFill="1" applyBorder="1" applyAlignment="1">
      <alignment wrapText="1"/>
    </xf>
    <xf numFmtId="0" fontId="16" fillId="9" borderId="6" xfId="0" applyFont="1" applyFill="1" applyBorder="1"/>
    <xf numFmtId="0" fontId="15" fillId="22" borderId="5" xfId="0" applyFont="1" applyFill="1" applyBorder="1"/>
    <xf numFmtId="0" fontId="8" fillId="19" borderId="0" xfId="0" applyFont="1" applyFill="1"/>
    <xf numFmtId="0" fontId="15" fillId="9" borderId="0" xfId="0" applyFont="1" applyFill="1"/>
    <xf numFmtId="0" fontId="15" fillId="14" borderId="11" xfId="0" applyFont="1" applyFill="1" applyBorder="1"/>
    <xf numFmtId="0" fontId="15" fillId="9" borderId="22" xfId="0" applyFont="1" applyFill="1" applyBorder="1"/>
    <xf numFmtId="0" fontId="15" fillId="9" borderId="16" xfId="0" applyFont="1" applyFill="1" applyBorder="1"/>
    <xf numFmtId="0" fontId="8" fillId="23" borderId="5" xfId="0" applyFont="1" applyFill="1" applyBorder="1"/>
    <xf numFmtId="0" fontId="16" fillId="12" borderId="21" xfId="1" applyFont="1" applyFill="1" applyBorder="1"/>
    <xf numFmtId="0" fontId="15" fillId="3" borderId="16" xfId="2" applyFont="1" applyBorder="1"/>
    <xf numFmtId="0" fontId="15" fillId="0" borderId="6" xfId="2" applyFont="1" applyFill="1" applyBorder="1"/>
    <xf numFmtId="0" fontId="15" fillId="12" borderId="5" xfId="7" applyFont="1" applyFill="1" applyBorder="1"/>
    <xf numFmtId="0" fontId="31" fillId="0" borderId="0" xfId="0" applyFont="1"/>
    <xf numFmtId="0" fontId="8" fillId="24" borderId="0" xfId="0" applyFont="1" applyFill="1"/>
    <xf numFmtId="0" fontId="20" fillId="14" borderId="11" xfId="0" applyFont="1" applyFill="1" applyBorder="1"/>
    <xf numFmtId="9" fontId="34" fillId="11" borderId="0" xfId="8" applyFont="1" applyFill="1"/>
    <xf numFmtId="0" fontId="34" fillId="11" borderId="0" xfId="0" applyFont="1" applyFill="1"/>
    <xf numFmtId="0" fontId="34" fillId="0" borderId="0" xfId="0" applyFont="1"/>
    <xf numFmtId="0" fontId="20" fillId="9" borderId="11" xfId="0" applyFont="1" applyFill="1" applyBorder="1"/>
    <xf numFmtId="0" fontId="15" fillId="3" borderId="21" xfId="2" applyFont="1" applyBorder="1"/>
    <xf numFmtId="0" fontId="8" fillId="13" borderId="4" xfId="0" applyFont="1" applyFill="1" applyBorder="1"/>
    <xf numFmtId="0" fontId="15" fillId="3" borderId="6" xfId="2" applyFont="1" applyBorder="1"/>
    <xf numFmtId="0" fontId="30" fillId="9" borderId="27" xfId="0" applyFont="1" applyFill="1" applyBorder="1"/>
    <xf numFmtId="0" fontId="8" fillId="11" borderId="11" xfId="0" applyFont="1" applyFill="1" applyBorder="1"/>
    <xf numFmtId="0" fontId="32" fillId="9" borderId="4" xfId="0" applyFont="1" applyFill="1" applyBorder="1"/>
    <xf numFmtId="0" fontId="33" fillId="14" borderId="5" xfId="0" applyFont="1" applyFill="1" applyBorder="1" applyAlignment="1">
      <alignment vertical="center"/>
    </xf>
    <xf numFmtId="0" fontId="20" fillId="0" borderId="0" xfId="0" applyFont="1" applyAlignment="1">
      <alignment vertical="top"/>
    </xf>
    <xf numFmtId="0" fontId="20" fillId="0" borderId="25" xfId="0" applyFont="1" applyBorder="1" applyAlignment="1">
      <alignment vertical="top"/>
    </xf>
    <xf numFmtId="0" fontId="15" fillId="14" borderId="24" xfId="0" applyFont="1" applyFill="1" applyBorder="1"/>
    <xf numFmtId="0" fontId="30" fillId="14" borderId="5" xfId="0" applyFont="1" applyFill="1" applyBorder="1"/>
    <xf numFmtId="0" fontId="26" fillId="9" borderId="10" xfId="0" applyFont="1" applyFill="1" applyBorder="1" applyAlignment="1">
      <alignment wrapText="1"/>
    </xf>
    <xf numFmtId="0" fontId="16" fillId="12" borderId="11" xfId="0" applyFont="1" applyFill="1" applyBorder="1"/>
    <xf numFmtId="0" fontId="34" fillId="0" borderId="6" xfId="0" applyFont="1" applyBorder="1"/>
    <xf numFmtId="0" fontId="8" fillId="18" borderId="0" xfId="0" applyFont="1" applyFill="1"/>
    <xf numFmtId="0" fontId="8" fillId="9" borderId="23" xfId="0" applyFont="1" applyFill="1" applyBorder="1"/>
    <xf numFmtId="0" fontId="8" fillId="9" borderId="10" xfId="0" applyFont="1" applyFill="1" applyBorder="1"/>
    <xf numFmtId="0" fontId="8" fillId="18" borderId="11" xfId="0" applyFont="1" applyFill="1" applyBorder="1"/>
    <xf numFmtId="0" fontId="8" fillId="18" borderId="15" xfId="0" applyFont="1" applyFill="1" applyBorder="1"/>
    <xf numFmtId="0" fontId="8" fillId="13" borderId="5" xfId="0" applyFont="1" applyFill="1" applyBorder="1"/>
    <xf numFmtId="0" fontId="15" fillId="21" borderId="5" xfId="0" applyFont="1" applyFill="1" applyBorder="1"/>
    <xf numFmtId="0" fontId="15" fillId="13" borderId="5" xfId="0" applyFont="1" applyFill="1" applyBorder="1"/>
    <xf numFmtId="0" fontId="8" fillId="16" borderId="5" xfId="0" applyFont="1" applyFill="1" applyBorder="1"/>
    <xf numFmtId="0" fontId="8" fillId="13" borderId="6" xfId="0" applyFont="1" applyFill="1" applyBorder="1"/>
    <xf numFmtId="0" fontId="20" fillId="0" borderId="11" xfId="0" applyFont="1" applyBorder="1"/>
    <xf numFmtId="0" fontId="16" fillId="12" borderId="5" xfId="7" applyFont="1" applyFill="1" applyBorder="1"/>
    <xf numFmtId="0" fontId="8" fillId="11" borderId="6" xfId="0" applyFont="1" applyFill="1" applyBorder="1"/>
    <xf numFmtId="0" fontId="15" fillId="17" borderId="5" xfId="0" applyFont="1" applyFill="1" applyBorder="1"/>
    <xf numFmtId="0" fontId="15" fillId="17" borderId="11" xfId="0" applyFont="1" applyFill="1" applyBorder="1"/>
    <xf numFmtId="0" fontId="35" fillId="22" borderId="4" xfId="0" applyFont="1" applyFill="1" applyBorder="1"/>
    <xf numFmtId="0" fontId="32" fillId="0" borderId="4" xfId="2" applyFont="1" applyFill="1" applyBorder="1"/>
    <xf numFmtId="0" fontId="15" fillId="9" borderId="11" xfId="2" applyFont="1" applyFill="1" applyBorder="1"/>
    <xf numFmtId="0" fontId="8" fillId="19" borderId="11" xfId="0" applyFont="1" applyFill="1" applyBorder="1"/>
    <xf numFmtId="0" fontId="8" fillId="13" borderId="22" xfId="0" applyFont="1" applyFill="1" applyBorder="1"/>
    <xf numFmtId="0" fontId="8" fillId="22" borderId="21" xfId="0" applyFont="1" applyFill="1" applyBorder="1"/>
    <xf numFmtId="0" fontId="36" fillId="22" borderId="5" xfId="0" applyFont="1" applyFill="1" applyBorder="1"/>
    <xf numFmtId="0" fontId="37" fillId="22" borderId="5" xfId="0" applyFont="1" applyFill="1" applyBorder="1"/>
    <xf numFmtId="0" fontId="39" fillId="25" borderId="29" xfId="0" applyFont="1" applyFill="1" applyBorder="1" applyAlignment="1">
      <alignment horizontal="left" wrapText="1" readingOrder="1"/>
    </xf>
    <xf numFmtId="0" fontId="40" fillId="25" borderId="29" xfId="0" applyFont="1" applyFill="1" applyBorder="1" applyAlignment="1">
      <alignment horizontal="left" wrapText="1" readingOrder="1"/>
    </xf>
    <xf numFmtId="16" fontId="40" fillId="25" borderId="29" xfId="0" applyNumberFormat="1" applyFont="1" applyFill="1" applyBorder="1" applyAlignment="1">
      <alignment horizontal="left" wrapText="1" readingOrder="1"/>
    </xf>
    <xf numFmtId="49" fontId="41" fillId="0" borderId="0" xfId="0" applyNumberFormat="1" applyFont="1"/>
    <xf numFmtId="49" fontId="0" fillId="0" borderId="0" xfId="0" applyNumberFormat="1"/>
    <xf numFmtId="0" fontId="41" fillId="0" borderId="0" xfId="9"/>
    <xf numFmtId="49" fontId="41" fillId="0" borderId="0" xfId="9" applyNumberFormat="1"/>
    <xf numFmtId="0" fontId="42" fillId="0" borderId="30" xfId="0" applyFont="1" applyBorder="1" applyAlignment="1">
      <alignment horizontal="center" vertical="top"/>
    </xf>
    <xf numFmtId="0" fontId="43" fillId="26" borderId="0" xfId="0" applyFont="1" applyFill="1"/>
    <xf numFmtId="0" fontId="41" fillId="0" borderId="0" xfId="0" applyFont="1"/>
    <xf numFmtId="0" fontId="14" fillId="10" borderId="0" xfId="0" applyFont="1" applyFill="1" applyAlignment="1">
      <alignment horizontal="center"/>
    </xf>
    <xf numFmtId="0" fontId="17" fillId="10" borderId="0" xfId="0" applyFont="1" applyFill="1" applyAlignment="1">
      <alignment horizontal="center"/>
    </xf>
    <xf numFmtId="0" fontId="43" fillId="0" borderId="0" xfId="0" applyFont="1"/>
    <xf numFmtId="14" fontId="0" fillId="0" borderId="0" xfId="0" applyNumberFormat="1"/>
    <xf numFmtId="0" fontId="43" fillId="0" borderId="0" xfId="0" applyFont="1" applyFill="1"/>
    <xf numFmtId="0" fontId="0" fillId="19" borderId="0" xfId="0" applyNumberFormat="1" applyFill="1"/>
    <xf numFmtId="0" fontId="0" fillId="19" borderId="0" xfId="0" applyFill="1"/>
    <xf numFmtId="2" fontId="0" fillId="0" borderId="0" xfId="0" applyNumberFormat="1"/>
    <xf numFmtId="0" fontId="13" fillId="0" borderId="0" xfId="0" applyFont="1" applyBorder="1" applyAlignment="1">
      <alignment vertical="top"/>
    </xf>
  </cellXfs>
  <cellStyles count="10">
    <cellStyle name="20% - Accent1" xfId="5" builtinId="30"/>
    <cellStyle name="40% - Accent1" xfId="6" builtinId="31"/>
    <cellStyle name="60% - Accent6" xfId="7" builtinId="52"/>
    <cellStyle name="Check Cell" xfId="4" builtinId="23"/>
    <cellStyle name="Good" xfId="1" builtinId="26"/>
    <cellStyle name="Input" xfId="3" builtinId="20"/>
    <cellStyle name="Neutral" xfId="2" builtinId="28"/>
    <cellStyle name="Normal" xfId="0" builtinId="0"/>
    <cellStyle name="Normal 2" xfId="9" xr:uid="{91F17A0C-7B7D-0940-9C14-C323A7E12C35}"/>
    <cellStyle name="Percent" xfId="8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85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nks, Anna V" id="{2DCE0398-E45B-42BE-93C7-B76AC691EBC8}" userId="S::jenksa@merck.com::1ee4cc8d-273c-4e75-bc91-9c223cab3581" providerId="AD"/>
  <person displayName="Colossi, Patrick" id="{79DB8A61-6F6A-4D15-B947-DDE1A6BA745C}" userId="S::colossi@merck.com::6a136941-c6bc-459b-80db-8aaab026dbe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V10" dT="2024-10-14T19:28:23.87" personId="{2DCE0398-E45B-42BE-93C7-B76AC691EBC8}" id="{CBD1AE78-3BF3-4ADD-9F17-73970E79AA05}">
    <text>6kg batches, LM40/VBE sieve</text>
  </threadedComment>
  <threadedComment ref="DI10" dT="2024-10-07T19:09:56.08" personId="{2DCE0398-E45B-42BE-93C7-B76AC691EBC8}" id="{EFC1603D-9711-4BD1-844C-06507CF969D1}">
    <text xml:space="preserve">RC
</text>
  </threadedComment>
  <threadedComment ref="DX10" dT="2024-10-07T19:17:24.17" personId="{2DCE0398-E45B-42BE-93C7-B76AC691EBC8}" id="{DE9F6861-6103-4326-AB97-E2448F691AB7}">
    <text>6 batches, small, includes RC, film coat</text>
  </threadedComment>
  <threadedComment ref="DX10" dT="2024-10-15T14:16:48.19" personId="{2DCE0398-E45B-42BE-93C7-B76AC691EBC8}" id="{753DEEB8-9D19-40E9-9514-366AFB089233}" parentId="{DE9F6861-6103-4326-AB97-E2448F691AB7}">
    <text xml:space="preserve">10mg dose, changing FDC; low and high 0616; low/high disintegrant - </text>
  </threadedComment>
  <threadedComment ref="DX10" dT="2024-10-15T14:27:11.98" personId="{2DCE0398-E45B-42BE-93C7-B76AC691EBC8}" id="{4467E340-DEC9-4FD5-91EB-D5D2D1090199}" parentId="{DE9F6861-6103-4326-AB97-E2448F691AB7}">
    <text xml:space="preserve">Current bottleneck is 1213 and FC vs PODs and 1708
</text>
  </threadedComment>
  <threadedComment ref="DX10" dT="2024-10-15T14:27:23.79" personId="{2DCE0398-E45B-42BE-93C7-B76AC691EBC8}" id="{4ECDCE69-B5C9-47B3-B605-A6A2CE2E5A1A}" parentId="{DE9F6861-6103-4326-AB97-E2448F691AB7}">
    <text xml:space="preserve">Discuss major clean strategy </text>
  </threadedComment>
  <threadedComment ref="BP12" dT="2024-04-03T20:19:06.54" personId="{79DB8A61-6F6A-4D15-B947-DDE1A6BA745C}" id="{DE056F7B-989C-4034-94CA-6BF93FB1B68F}">
    <text>End: 26Apr
Michelle, Wesley, Ray (Jan if available)</text>
  </threadedComment>
  <threadedComment ref="BS12" dT="2024-04-03T20:19:34.49" personId="{79DB8A61-6F6A-4D15-B947-DDE1A6BA745C}" id="{5914DF78-F321-4B98-A564-C1C7FEF7D73B}">
    <text>Blending Start: 29Apr
Blending End: 03May
Encapsulation Start: 06May
Encapsulation End: 31May
Michelle, Wesley, Ray (Jan if available)</text>
  </threadedComment>
  <threadedComment ref="BX12" dT="2024-04-03T20:20:40.35" personId="{79DB8A61-6F6A-4D15-B947-DDE1A6BA745C}" id="{4B558611-FFAE-40A9-94FD-7BC9C3AA86D3}">
    <text>Test bar dosator, wider outlet, and empty capsule discharge
Start: 03Jun
End: 28Jun
Michelle, Wesley, Ray (Jan if available)</text>
  </threadedComment>
  <threadedComment ref="CH12" dT="2024-07-03T13:48:03.42" personId="{2DCE0398-E45B-42BE-93C7-B76AC691EBC8}" id="{65AFC9CF-BBB2-4E9E-A70F-FABF9353AFA1}">
    <text xml:space="preserve">DDT FAT
</text>
  </threadedComment>
  <threadedComment ref="CP12" dT="2024-08-20T17:20:41.42" personId="{2DCE0398-E45B-42BE-93C7-B76AC691EBC8}" id="{F71EFE43-7732-4797-9750-77A615BCBBDC}">
    <text>Install and commissioning, automation</text>
  </threadedComment>
  <threadedComment ref="DH13" dT="2024-10-21T19:23:04.58" personId="{2DCE0398-E45B-42BE-93C7-B76AC691EBC8}" id="{C7E711AD-E578-4885-ADE2-8E121AB964E5}">
    <text>Will have to be in 1263 as film coating needed for 8527</text>
  </threadedComment>
  <threadedComment ref="DI13" dT="2024-08-22T19:36:44.44" personId="{2DCE0398-E45B-42BE-93C7-B76AC691EBC8}" id="{88FBC38A-51B4-4857-9859-908C9AC6A166}">
    <text>Go/No-Go in Dec 2024</text>
  </threadedComment>
  <threadedComment ref="DI13" dT="2024-08-22T19:37:36.60" personId="{2DCE0398-E45B-42BE-93C7-B76AC691EBC8}" id="{33D2D510-0F5A-4C7D-927D-E02351ED610E}" parentId="{88FBC38A-51B4-4857-9859-908C9AC6A166}">
    <text>~1000 each dose and stable humidity control</text>
  </threadedComment>
  <threadedComment ref="DO13" dT="2024-10-07T19:23:06.03" personId="{2DCE0398-E45B-42BE-93C7-B76AC691EBC8}" id="{5A9B0E9A-F904-4539-A9F7-780207323E83}">
    <text>Update mid-Oct once DCT forms</text>
  </threadedComment>
  <threadedComment ref="DO13" dT="2024-11-05T20:07:50.16" personId="{2DCE0398-E45B-42BE-93C7-B76AC691EBC8}" id="{FC95A71F-7021-47F1-A6C2-541F0DDA8F3A}" parentId="{5A9B0E9A-F904-4539-A9F7-780207323E83}">
    <text>2 potencies; 15k &amp; 10k worst case</text>
  </threadedComment>
  <threadedComment ref="DU13" dT="2024-09-09T19:24:35.76" personId="{2DCE0398-E45B-42BE-93C7-B76AC691EBC8}" id="{BA13DE1D-B21E-45C7-BC32-B3442C2DE736}">
    <text>Tight timelines if any previous slip</text>
  </threadedComment>
  <threadedComment ref="DU13" dT="2024-09-09T19:26:51.86" personId="{2DCE0398-E45B-42BE-93C7-B76AC691EBC8}" id="{C741E1A6-583E-44AD-B938-D93C54519499}" parentId="{BA13DE1D-B21E-45C7-BC32-B3442C2DE736}">
    <text>Would optimistically fit into 3214 if a no-go</text>
  </threadedComment>
  <threadedComment ref="DV13" dT="2024-09-09T19:24:35.76" personId="{2DCE0398-E45B-42BE-93C7-B76AC691EBC8}" id="{60784012-0B93-41A3-9D6E-730D48697865}">
    <text>Tight timelines if any previous slip</text>
  </threadedComment>
  <threadedComment ref="DV13" dT="2024-09-09T19:26:51.86" personId="{2DCE0398-E45B-42BE-93C7-B76AC691EBC8}" id="{5D08FBDD-6735-487D-927A-30557105D936}" parentId="{60784012-0B93-41A3-9D6E-730D48697865}">
    <text>Would optimistically fit into 3214 if a no-go</text>
  </threadedComment>
  <threadedComment ref="DW13" dT="2024-09-09T19:24:35.76" personId="{2DCE0398-E45B-42BE-93C7-B76AC691EBC8}" id="{D4701922-CD1C-41D4-B331-B7E65C9379C7}">
    <text>Tight timelines if any previous slip</text>
  </threadedComment>
  <threadedComment ref="DW13" dT="2024-09-09T19:26:51.86" personId="{2DCE0398-E45B-42BE-93C7-B76AC691EBC8}" id="{CC2C7153-A1A1-4F1F-8900-07DC90313741}" parentId="{D4701922-CD1C-41D4-B331-B7E65C9379C7}">
    <text>Would optimistically fit into 3214 if a no-go</text>
  </threadedComment>
  <threadedComment ref="DK14" dT="2024-07-15T19:14:15.80" personId="{2DCE0398-E45B-42BE-93C7-B76AC691EBC8}" id="{ACCE852B-B605-48D7-84EA-930748EE78F1}">
    <text xml:space="preserve">Forecasting needed
</text>
  </threadedComment>
  <threadedComment ref="DI15" dT="2024-10-25T15:52:44.01" personId="{2DCE0398-E45B-42BE-93C7-B76AC691EBC8}" id="{B4D2C22D-AB87-49B0-AB9A-08993C7DF1EF}">
    <text>Refresh schedule with day-for-day plan and Dec test batch experience</text>
  </threadedComment>
  <threadedComment ref="DW15" dT="2024-10-25T16:11:13.47" personId="{2DCE0398-E45B-42BE-93C7-B76AC691EBC8}" id="{3074C804-FC9D-422D-B408-3E6B16F427EC}">
    <text>2 batches, may be more than 2</text>
  </threadedComment>
  <threadedComment ref="DW15" dT="2024-10-25T16:13:41.12" personId="{2DCE0398-E45B-42BE-93C7-B76AC691EBC8}" id="{D7D77185-5471-4BFF-B1C7-F3F8361E95B9}" parentId="{3074C804-FC9D-422D-B408-3E6B16F427EC}">
    <text>More info to come in Nov</text>
  </threadedComment>
  <threadedComment ref="DW15" dT="2024-10-25T16:13:52.00" personId="{2DCE0398-E45B-42BE-93C7-B76AC691EBC8}" id="{598B8952-3BD4-4786-93B3-8CD4AEB191CD}" parentId="{3074C804-FC9D-422D-B408-3E6B16F427EC}">
    <text>&gt;10k prefer autoencaps</text>
  </threadedComment>
  <threadedComment ref="A36" dT="2024-02-15T16:54:15.07" personId="{2DCE0398-E45B-42BE-93C7-B76AC691EBC8}" id="{15D9C225-E4B5-4ED5-884F-A331D0290874}">
    <text>https://collaboration.merck.com/sites/FLExCenter2/Shared%20Documents/Oral%20Solid%20Dosage/Facility/Master%20Equipment%20List.xlsx?web=1</text>
    <extLst>
      <x:ext xmlns:xltc2="http://schemas.microsoft.com/office/spreadsheetml/2020/threadedcomments2" uri="{F7C98A9C-CBB3-438F-8F68-D28B6AF4A901}">
        <xltc2:checksum>294310422</xltc2:checksum>
        <xltc2:hyperlink startIndex="0" length="136" url="https://collaboration.merck.com/sites/FLExCenter2/Shared%20Documents/Oral%20Solid%20Dosage/Facility/Master%20Equipment%20List.xlsx?web=1"/>
      </x:ext>
    </extLst>
  </threadedComment>
  <threadedComment ref="A79" dT="2024-02-15T16:53:23.43" personId="{2DCE0398-E45B-42BE-93C7-B76AC691EBC8}" id="{2A3E3BBB-22E2-4BDB-8E38-74C6C7F843D5}">
    <text>https://mydrive.merck.com/personal/clancjam_merck_com/Documents/documents/PharmOps/OSD%20Supervisor%20Activities/Communications/FLEx%20OSD%20VBEs.pptx?web=1</text>
    <extLst>
      <x:ext xmlns:xltc2="http://schemas.microsoft.com/office/spreadsheetml/2020/threadedcomments2" uri="{F7C98A9C-CBB3-438F-8F68-D28B6AF4A901}">
        <xltc2:checksum>384488951</xltc2:checksum>
        <xltc2:hyperlink startIndex="0" length="156" url="https://mydrive.merck.com/personal/clancjam_merck_com/Documents/documents/PharmOps/OSD%20Supervisor%20Activities/Communications/FLEx%20OSD%20VBEs.pptx?web=1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7816-18EB-4578-958A-C4A49C3A94E4}">
  <sheetPr>
    <pageSetUpPr fitToPage="1"/>
  </sheetPr>
  <dimension ref="A1:FF102"/>
  <sheetViews>
    <sheetView zoomScale="82" zoomScaleNormal="67" workbookViewId="0">
      <pane xSplit="54" topLeftCell="BF1" activePane="topRight" state="frozen"/>
      <selection pane="topRight" activeCell="BI1" sqref="BI1"/>
    </sheetView>
  </sheetViews>
  <sheetFormatPr baseColWidth="10" defaultColWidth="9.1640625" defaultRowHeight="27" customHeight="1" outlineLevelRow="1" outlineLevelCol="2"/>
  <cols>
    <col min="1" max="1" width="66" style="2" customWidth="1"/>
    <col min="2" max="2" width="12.6640625" style="3" customWidth="1" outlineLevel="1"/>
    <col min="3" max="14" width="12.6640625" style="3" hidden="1" customWidth="1" outlineLevel="2"/>
    <col min="15" max="15" width="12.6640625" style="3" customWidth="1" outlineLevel="1" collapsed="1"/>
    <col min="16" max="16" width="12.6640625" style="3" hidden="1" customWidth="1" outlineLevel="2" collapsed="1"/>
    <col min="17" max="27" width="12.6640625" style="3" hidden="1" customWidth="1" outlineLevel="2"/>
    <col min="28" max="28" width="12.6640625" style="3" customWidth="1" outlineLevel="1" collapsed="1"/>
    <col min="29" max="40" width="12.6640625" style="3" hidden="1" customWidth="1" outlineLevel="2"/>
    <col min="41" max="41" width="15.5" style="3" customWidth="1" outlineLevel="1" collapsed="1"/>
    <col min="42" max="42" width="18.83203125" style="3" customWidth="1" outlineLevel="1"/>
    <col min="43" max="43" width="10.6640625" style="3" customWidth="1" outlineLevel="1"/>
    <col min="44" max="44" width="16.83203125" style="3" customWidth="1" outlineLevel="1"/>
    <col min="45" max="45" width="14.5" style="3" customWidth="1" outlineLevel="1"/>
    <col min="46" max="46" width="11.1640625" style="3" customWidth="1" outlineLevel="1"/>
    <col min="47" max="47" width="12.6640625" style="3" customWidth="1" outlineLevel="1"/>
    <col min="48" max="48" width="6.33203125" style="3" customWidth="1" outlineLevel="1"/>
    <col min="49" max="49" width="1.6640625" style="3" customWidth="1" outlineLevel="1"/>
    <col min="50" max="50" width="9.83203125" style="3" customWidth="1" outlineLevel="1"/>
    <col min="51" max="51" width="12.6640625" style="3" customWidth="1" outlineLevel="1"/>
    <col min="52" max="52" width="0.6640625" style="3" customWidth="1" outlineLevel="1"/>
    <col min="53" max="53" width="12.6640625" style="3" customWidth="1" outlineLevel="1"/>
    <col min="54" max="54" width="0.1640625" style="3" customWidth="1" outlineLevel="1"/>
    <col min="55" max="55" width="12.6640625" style="3" customWidth="1"/>
    <col min="56" max="56" width="0.5" style="3" customWidth="1" outlineLevel="1"/>
    <col min="57" max="57" width="12.5" style="3" customWidth="1" outlineLevel="1"/>
    <col min="58" max="58" width="17.6640625" style="3" customWidth="1" outlineLevel="1"/>
    <col min="59" max="59" width="12.6640625" style="3" customWidth="1" outlineLevel="1"/>
    <col min="60" max="60" width="8.5" style="3" customWidth="1" outlineLevel="1"/>
    <col min="61" max="61" width="12.33203125" style="3" customWidth="1" outlineLevel="1"/>
    <col min="62" max="62" width="15" style="3" customWidth="1" outlineLevel="1"/>
    <col min="63" max="63" width="13.6640625" style="3" customWidth="1" outlineLevel="1"/>
    <col min="64" max="64" width="16.33203125" style="3" customWidth="1" outlineLevel="1"/>
    <col min="65" max="66" width="20" style="3" customWidth="1" outlineLevel="1"/>
    <col min="67" max="67" width="21.1640625" style="3" customWidth="1" outlineLevel="1"/>
    <col min="68" max="68" width="19" style="3" customWidth="1"/>
    <col min="69" max="69" width="12.6640625" style="3" customWidth="1" outlineLevel="1"/>
    <col min="70" max="70" width="5.33203125" style="3" customWidth="1" outlineLevel="1"/>
    <col min="71" max="71" width="4.5" style="3" customWidth="1" outlineLevel="1"/>
    <col min="72" max="72" width="3.6640625" style="3" customWidth="1" outlineLevel="1"/>
    <col min="73" max="73" width="4" style="3" customWidth="1" outlineLevel="1"/>
    <col min="74" max="75" width="12.6640625" style="3" customWidth="1" outlineLevel="1"/>
    <col min="76" max="76" width="21.83203125" style="3" customWidth="1" outlineLevel="1"/>
    <col min="77" max="77" width="31.33203125" style="3" customWidth="1" outlineLevel="1"/>
    <col min="78" max="78" width="21.33203125" style="3" customWidth="1" outlineLevel="1"/>
    <col min="79" max="80" width="12.6640625" style="3" customWidth="1" outlineLevel="1"/>
    <col min="81" max="81" width="12.6640625" style="3" customWidth="1"/>
    <col min="82" max="82" width="12.6640625" style="3" hidden="1" customWidth="1" outlineLevel="1"/>
    <col min="83" max="83" width="20.5" style="3" hidden="1" customWidth="1" outlineLevel="1"/>
    <col min="84" max="84" width="15.1640625" style="3" hidden="1" customWidth="1" outlineLevel="1"/>
    <col min="85" max="85" width="12.6640625" style="3" hidden="1" customWidth="1" outlineLevel="1"/>
    <col min="86" max="86" width="17" style="3" hidden="1" customWidth="1" outlineLevel="1"/>
    <col min="87" max="91" width="12.6640625" style="3" hidden="1" customWidth="1" outlineLevel="1"/>
    <col min="92" max="92" width="15.83203125" style="3" hidden="1" customWidth="1" outlineLevel="1"/>
    <col min="93" max="93" width="16.5" style="3" hidden="1" customWidth="1" outlineLevel="1"/>
    <col min="94" max="94" width="12.6640625" style="3" customWidth="1" collapsed="1"/>
    <col min="95" max="106" width="12.6640625" style="3" hidden="1" customWidth="1" outlineLevel="1"/>
    <col min="107" max="107" width="12.6640625" style="3" customWidth="1" collapsed="1"/>
    <col min="108" max="117" width="12.6640625" style="3" customWidth="1"/>
    <col min="118" max="118" width="13.5" style="3" customWidth="1"/>
    <col min="119" max="119" width="12.6640625" style="3" customWidth="1"/>
    <col min="120" max="120" width="15" style="3" customWidth="1"/>
    <col min="121" max="121" width="11.33203125" style="3" customWidth="1"/>
    <col min="122" max="129" width="12.6640625" style="3" customWidth="1"/>
    <col min="130" max="130" width="12.5" style="3" customWidth="1"/>
    <col min="131" max="132" width="13.5" style="3" bestFit="1" customWidth="1"/>
    <col min="133" max="138" width="13.33203125" style="3" customWidth="1"/>
    <col min="139" max="140" width="11.33203125" style="3" bestFit="1" customWidth="1"/>
    <col min="141" max="142" width="9.1640625" style="3"/>
    <col min="143" max="143" width="10.83203125" style="3" bestFit="1" customWidth="1"/>
    <col min="144" max="144" width="9.83203125" style="3" customWidth="1"/>
    <col min="145" max="145" width="10.83203125" style="3" bestFit="1" customWidth="1"/>
    <col min="146" max="146" width="9.1640625" style="3"/>
    <col min="147" max="147" width="10.5" style="3" bestFit="1" customWidth="1"/>
    <col min="148" max="148" width="10" style="3" customWidth="1"/>
    <col min="149" max="149" width="10.33203125" style="3" customWidth="1"/>
    <col min="150" max="150" width="9.1640625" style="3"/>
    <col min="151" max="151" width="10.33203125" style="3" customWidth="1"/>
    <col min="152" max="153" width="11.33203125" style="3" bestFit="1" customWidth="1"/>
    <col min="154" max="155" width="9.1640625" style="3"/>
    <col min="156" max="156" width="10.5" style="3" customWidth="1"/>
    <col min="157" max="158" width="10.83203125" style="3" bestFit="1" customWidth="1"/>
    <col min="159" max="161" width="9.1640625" style="3"/>
    <col min="162" max="162" width="10.1640625" style="3" bestFit="1" customWidth="1"/>
    <col min="163" max="16384" width="9.1640625" style="3"/>
  </cols>
  <sheetData>
    <row r="1" spans="1:162" s="1" customFormat="1" ht="28">
      <c r="A1" s="8" t="s">
        <v>0</v>
      </c>
      <c r="BF1" s="79" t="s">
        <v>1</v>
      </c>
      <c r="BH1" s="79" t="s">
        <v>2</v>
      </c>
      <c r="BI1" s="80">
        <f>AVERAGE(BC21:BO21)</f>
        <v>4.5384615384615383</v>
      </c>
      <c r="BJ1" s="79" t="s">
        <v>3</v>
      </c>
      <c r="BK1" s="81">
        <f>AVERAGE(BC66:BO66)</f>
        <v>0.70940170940170943</v>
      </c>
      <c r="BL1" s="79" t="s">
        <v>4</v>
      </c>
      <c r="BM1" s="81">
        <f>AVERAGE(BC37:BO37)</f>
        <v>0.65088757396449703</v>
      </c>
      <c r="BS1" s="79" t="s">
        <v>5</v>
      </c>
      <c r="BU1" s="79" t="s">
        <v>2</v>
      </c>
      <c r="BV1" s="80">
        <f>AVERAGE(BP21:CB21)</f>
        <v>3.8461538461538463</v>
      </c>
      <c r="BW1" s="79" t="s">
        <v>3</v>
      </c>
      <c r="BX1" s="81">
        <f>AVERAGE(BP66:CB66)</f>
        <v>0.71306471306471297</v>
      </c>
      <c r="BY1" s="79" t="s">
        <v>4</v>
      </c>
      <c r="BZ1" s="81">
        <f>AVERAGE(BP37:CB37)</f>
        <v>0.87573964497041423</v>
      </c>
      <c r="CF1" s="79" t="s">
        <v>6</v>
      </c>
      <c r="CH1" s="79" t="s">
        <v>2</v>
      </c>
      <c r="CI1" s="80">
        <f>AVERAGE(CF21:CO21)</f>
        <v>7.9</v>
      </c>
      <c r="CJ1" s="79" t="s">
        <v>3</v>
      </c>
      <c r="CK1" s="81">
        <f>AVERAGE(CF66:CO66)</f>
        <v>0.78000000000000014</v>
      </c>
      <c r="CL1" s="79" t="s">
        <v>4</v>
      </c>
      <c r="CM1" s="81">
        <f>AVERAGE(CF37:CO37)</f>
        <v>0.8307692307692307</v>
      </c>
      <c r="CS1" s="79" t="s">
        <v>7</v>
      </c>
      <c r="CU1" s="79" t="s">
        <v>2</v>
      </c>
      <c r="CV1" s="80">
        <f>AVERAGE(CP21:DB21)</f>
        <v>6.9230769230769234</v>
      </c>
      <c r="CW1" s="79" t="s">
        <v>3</v>
      </c>
      <c r="CX1" s="81">
        <f>AVERAGE(CP66:DB66)</f>
        <v>0.72307692307692306</v>
      </c>
      <c r="CY1" s="79" t="s">
        <v>4</v>
      </c>
      <c r="CZ1" s="81">
        <f>AVERAGE(CP37:DB37)</f>
        <v>0.97041420118343202</v>
      </c>
      <c r="DF1" s="79" t="s">
        <v>1</v>
      </c>
      <c r="DH1" s="79" t="s">
        <v>2</v>
      </c>
      <c r="DI1" s="80">
        <f>AVERAGE(DC21:DO21)</f>
        <v>0</v>
      </c>
      <c r="DJ1" s="79" t="s">
        <v>3</v>
      </c>
      <c r="DK1" s="81">
        <f>AVERAGE(DC66:DO66)</f>
        <v>0.7153846153846154</v>
      </c>
      <c r="DL1" s="79" t="s">
        <v>4</v>
      </c>
      <c r="DM1" s="81">
        <f>AVERAGE(DC37:DO37)</f>
        <v>0.76223776223776207</v>
      </c>
      <c r="DS1" s="79" t="s">
        <v>5</v>
      </c>
      <c r="DU1" s="79" t="s">
        <v>2</v>
      </c>
      <c r="DV1" s="80" t="e">
        <f>AVERAGE(DP21:EB21)</f>
        <v>#DIV/0!</v>
      </c>
      <c r="DW1" s="79" t="s">
        <v>3</v>
      </c>
      <c r="DX1" s="81">
        <f>AVERAGE(DP66:EB66)</f>
        <v>4.9999999999999996E-2</v>
      </c>
      <c r="DY1" s="79" t="s">
        <v>4</v>
      </c>
      <c r="DZ1" s="81" t="e">
        <f>AVERAGE(DP37:EB37)</f>
        <v>#DIV/0!</v>
      </c>
      <c r="EF1" s="79" t="s">
        <v>6</v>
      </c>
      <c r="EH1" s="79" t="s">
        <v>2</v>
      </c>
      <c r="EI1" s="80" t="e">
        <f>AVERAGE(EC21:EO21)</f>
        <v>#DIV/0!</v>
      </c>
      <c r="EJ1" s="79" t="s">
        <v>3</v>
      </c>
      <c r="EK1" s="81" t="e">
        <f>AVERAGE(EC66:EO66)</f>
        <v>#DIV/0!</v>
      </c>
      <c r="EL1" s="79" t="s">
        <v>4</v>
      </c>
      <c r="EM1" s="81" t="e">
        <f>AVERAGE(EC37:EO37)</f>
        <v>#DIV/0!</v>
      </c>
      <c r="ES1" s="79" t="s">
        <v>7</v>
      </c>
      <c r="EU1" s="79" t="s">
        <v>2</v>
      </c>
      <c r="EV1" s="80" t="e">
        <f>AVERAGE(EP21:FB21)</f>
        <v>#DIV/0!</v>
      </c>
      <c r="EW1" s="79" t="s">
        <v>3</v>
      </c>
      <c r="EX1" s="81" t="e">
        <f>AVERAGE(EP66:FB66)</f>
        <v>#DIV/0!</v>
      </c>
      <c r="EY1" s="79" t="s">
        <v>4</v>
      </c>
      <c r="EZ1" s="81" t="e">
        <f>AVERAGE(EP37:FB37)</f>
        <v>#DIV/0!</v>
      </c>
    </row>
    <row r="2" spans="1:162" s="9" customFormat="1" ht="45">
      <c r="A2" s="9" t="s">
        <v>8</v>
      </c>
      <c r="B2" s="268" t="s">
        <v>9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 t="s">
        <v>10</v>
      </c>
      <c r="P2" s="268"/>
      <c r="Q2" s="268"/>
      <c r="R2" s="268"/>
      <c r="S2" s="268"/>
      <c r="T2" s="268"/>
      <c r="U2" s="268"/>
      <c r="V2" s="268"/>
      <c r="W2" s="268"/>
      <c r="X2" s="268"/>
      <c r="Y2" s="268"/>
      <c r="Z2" s="268"/>
      <c r="AA2" s="268"/>
      <c r="AB2" s="268" t="s">
        <v>11</v>
      </c>
      <c r="AC2" s="268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268"/>
      <c r="AO2" s="268" t="s">
        <v>12</v>
      </c>
      <c r="AP2" s="268"/>
      <c r="AQ2" s="268"/>
      <c r="AR2" s="268"/>
      <c r="AS2" s="268"/>
      <c r="AT2" s="268"/>
      <c r="AU2" s="268"/>
      <c r="AV2" s="268"/>
      <c r="AW2" s="268"/>
      <c r="AX2" s="268"/>
      <c r="AY2" s="268"/>
      <c r="AZ2" s="268"/>
      <c r="BA2" s="268"/>
      <c r="BB2" s="268"/>
      <c r="BC2" s="267" t="s">
        <v>13</v>
      </c>
      <c r="BD2" s="267"/>
      <c r="BE2" s="267"/>
      <c r="BF2" s="267"/>
      <c r="BG2" s="267"/>
      <c r="BH2" s="267"/>
      <c r="BI2" s="267"/>
      <c r="BJ2" s="267"/>
      <c r="BK2" s="267"/>
      <c r="BL2" s="267"/>
      <c r="BM2" s="267"/>
      <c r="BN2" s="267"/>
      <c r="BO2" s="267"/>
      <c r="BP2" s="267" t="s">
        <v>14</v>
      </c>
      <c r="BQ2" s="267"/>
      <c r="BR2" s="267"/>
      <c r="BS2" s="267"/>
      <c r="BT2" s="267"/>
      <c r="BU2" s="267"/>
      <c r="BV2" s="267"/>
      <c r="BW2" s="267"/>
      <c r="BX2" s="267"/>
      <c r="BY2" s="267"/>
      <c r="BZ2" s="267"/>
      <c r="CA2" s="267"/>
      <c r="CB2" s="267"/>
      <c r="CC2" s="267" t="s">
        <v>15</v>
      </c>
      <c r="CD2" s="267"/>
      <c r="CE2" s="267"/>
      <c r="CF2" s="267"/>
      <c r="CG2" s="267"/>
      <c r="CH2" s="267"/>
      <c r="CI2" s="267"/>
      <c r="CJ2" s="267"/>
      <c r="CK2" s="267"/>
      <c r="CL2" s="267"/>
      <c r="CM2" s="267"/>
      <c r="CN2" s="267"/>
      <c r="CO2" s="267"/>
      <c r="CP2" s="267" t="s">
        <v>16</v>
      </c>
      <c r="CQ2" s="267"/>
      <c r="CR2" s="267"/>
      <c r="CS2" s="267"/>
      <c r="CT2" s="267"/>
      <c r="CU2" s="267"/>
      <c r="CV2" s="267"/>
      <c r="CW2" s="267"/>
      <c r="CX2" s="267"/>
      <c r="CY2" s="267"/>
      <c r="CZ2" s="267"/>
      <c r="DA2" s="267"/>
      <c r="DB2" s="267"/>
      <c r="DC2" s="267" t="s">
        <v>17</v>
      </c>
      <c r="DD2" s="267"/>
      <c r="DE2" s="267"/>
      <c r="DF2" s="267"/>
      <c r="DG2" s="267"/>
      <c r="DH2" s="267"/>
      <c r="DI2" s="267"/>
      <c r="DJ2" s="267"/>
      <c r="DK2" s="267"/>
      <c r="DL2" s="267"/>
      <c r="DM2" s="267"/>
      <c r="DN2" s="267"/>
      <c r="DO2" s="267"/>
      <c r="DP2" s="267" t="s">
        <v>18</v>
      </c>
      <c r="DQ2" s="267"/>
      <c r="DR2" s="267"/>
      <c r="DS2" s="267"/>
      <c r="DT2" s="267"/>
      <c r="DU2" s="267"/>
      <c r="DV2" s="267"/>
      <c r="DW2" s="267"/>
      <c r="DX2" s="267"/>
      <c r="DY2" s="267"/>
      <c r="DZ2" s="267"/>
      <c r="EA2" s="267"/>
      <c r="EB2" s="267"/>
      <c r="EC2" s="267" t="s">
        <v>19</v>
      </c>
      <c r="ED2" s="267"/>
      <c r="EE2" s="267"/>
      <c r="EF2" s="267"/>
      <c r="EG2" s="267"/>
      <c r="EH2" s="267"/>
      <c r="EI2" s="267"/>
      <c r="EJ2" s="267"/>
      <c r="EK2" s="267"/>
      <c r="EL2" s="267"/>
      <c r="EM2" s="267"/>
      <c r="EN2" s="267"/>
      <c r="EO2" s="267"/>
      <c r="EP2" s="267" t="s">
        <v>20</v>
      </c>
      <c r="EQ2" s="267"/>
      <c r="ER2" s="267"/>
      <c r="ES2" s="267"/>
      <c r="ET2" s="267"/>
      <c r="EU2" s="267"/>
      <c r="EV2" s="267"/>
      <c r="EW2" s="267"/>
      <c r="EX2" s="267"/>
      <c r="EY2" s="267"/>
      <c r="EZ2" s="267"/>
      <c r="FA2" s="267"/>
      <c r="FB2" s="267"/>
    </row>
    <row r="3" spans="1:162" s="55" customFormat="1" ht="25.5" customHeight="1">
      <c r="A3" s="50" t="s">
        <v>21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14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/>
      <c r="CX3" s="54"/>
      <c r="CY3" s="54"/>
      <c r="CZ3" s="54"/>
      <c r="DA3" s="54"/>
      <c r="DB3" s="54"/>
    </row>
    <row r="4" spans="1:162" ht="18">
      <c r="A4" s="49" t="s">
        <v>22</v>
      </c>
    </row>
    <row r="5" spans="1:162" ht="18">
      <c r="A5" s="72" t="s">
        <v>23</v>
      </c>
      <c r="BW5" s="62" t="s">
        <v>24</v>
      </c>
      <c r="BZ5" s="62" t="s">
        <v>25</v>
      </c>
      <c r="CB5" s="62">
        <v>45477</v>
      </c>
      <c r="CN5" s="3" t="s">
        <v>26</v>
      </c>
    </row>
    <row r="6" spans="1:162" ht="18">
      <c r="A6" s="143" t="s">
        <v>27</v>
      </c>
      <c r="BW6" s="62"/>
      <c r="BY6" s="3" t="s">
        <v>28</v>
      </c>
      <c r="BZ6" s="62"/>
      <c r="CB6" s="62"/>
      <c r="CG6" s="3" t="s">
        <v>29</v>
      </c>
      <c r="CM6" s="3" t="s">
        <v>30</v>
      </c>
      <c r="CN6" s="3" t="s">
        <v>30</v>
      </c>
      <c r="CO6" s="3" t="s">
        <v>30</v>
      </c>
      <c r="CQ6" s="214" t="s">
        <v>31</v>
      </c>
      <c r="CR6" s="3" t="s">
        <v>32</v>
      </c>
      <c r="CV6" s="3" t="s">
        <v>33</v>
      </c>
      <c r="CW6" s="3" t="s">
        <v>34</v>
      </c>
      <c r="DA6" s="3" t="s">
        <v>35</v>
      </c>
      <c r="DT6" s="3" t="s">
        <v>36</v>
      </c>
    </row>
    <row r="7" spans="1:162" s="6" customFormat="1" ht="22.5" customHeight="1">
      <c r="A7" s="52" t="s">
        <v>37</v>
      </c>
      <c r="B7" s="7">
        <v>44927</v>
      </c>
      <c r="C7" s="7">
        <f>B7+7</f>
        <v>44934</v>
      </c>
      <c r="D7" s="7">
        <f t="shared" ref="D7:BI7" si="0">C7+7</f>
        <v>44941</v>
      </c>
      <c r="E7" s="7">
        <f t="shared" si="0"/>
        <v>44948</v>
      </c>
      <c r="F7" s="7">
        <f t="shared" si="0"/>
        <v>44955</v>
      </c>
      <c r="G7" s="7">
        <f t="shared" si="0"/>
        <v>44962</v>
      </c>
      <c r="H7" s="7">
        <f t="shared" si="0"/>
        <v>44969</v>
      </c>
      <c r="I7" s="7">
        <f t="shared" si="0"/>
        <v>44976</v>
      </c>
      <c r="J7" s="7">
        <f t="shared" si="0"/>
        <v>44983</v>
      </c>
      <c r="K7" s="7">
        <f t="shared" si="0"/>
        <v>44990</v>
      </c>
      <c r="L7" s="7">
        <f t="shared" si="0"/>
        <v>44997</v>
      </c>
      <c r="M7" s="7">
        <f t="shared" si="0"/>
        <v>45004</v>
      </c>
      <c r="N7" s="7">
        <f t="shared" si="0"/>
        <v>45011</v>
      </c>
      <c r="O7" s="7">
        <f t="shared" si="0"/>
        <v>45018</v>
      </c>
      <c r="P7" s="7">
        <f t="shared" si="0"/>
        <v>45025</v>
      </c>
      <c r="Q7" s="7">
        <f t="shared" si="0"/>
        <v>45032</v>
      </c>
      <c r="R7" s="7">
        <f t="shared" si="0"/>
        <v>45039</v>
      </c>
      <c r="S7" s="7">
        <f t="shared" si="0"/>
        <v>45046</v>
      </c>
      <c r="T7" s="7">
        <f t="shared" si="0"/>
        <v>45053</v>
      </c>
      <c r="U7" s="7">
        <f t="shared" si="0"/>
        <v>45060</v>
      </c>
      <c r="V7" s="7">
        <f t="shared" si="0"/>
        <v>45067</v>
      </c>
      <c r="W7" s="7">
        <f t="shared" si="0"/>
        <v>45074</v>
      </c>
      <c r="X7" s="7">
        <f t="shared" si="0"/>
        <v>45081</v>
      </c>
      <c r="Y7" s="7">
        <f t="shared" si="0"/>
        <v>45088</v>
      </c>
      <c r="Z7" s="7">
        <f t="shared" si="0"/>
        <v>45095</v>
      </c>
      <c r="AA7" s="7">
        <f t="shared" si="0"/>
        <v>45102</v>
      </c>
      <c r="AB7" s="7">
        <f t="shared" si="0"/>
        <v>45109</v>
      </c>
      <c r="AC7" s="7">
        <f t="shared" si="0"/>
        <v>45116</v>
      </c>
      <c r="AD7" s="7">
        <f t="shared" si="0"/>
        <v>45123</v>
      </c>
      <c r="AE7" s="7">
        <f t="shared" si="0"/>
        <v>45130</v>
      </c>
      <c r="AF7" s="7">
        <f t="shared" si="0"/>
        <v>45137</v>
      </c>
      <c r="AG7" s="7">
        <f t="shared" si="0"/>
        <v>45144</v>
      </c>
      <c r="AH7" s="7">
        <f t="shared" si="0"/>
        <v>45151</v>
      </c>
      <c r="AI7" s="7">
        <f t="shared" si="0"/>
        <v>45158</v>
      </c>
      <c r="AJ7" s="7">
        <f t="shared" si="0"/>
        <v>45165</v>
      </c>
      <c r="AK7" s="7">
        <f t="shared" si="0"/>
        <v>45172</v>
      </c>
      <c r="AL7" s="7">
        <f t="shared" si="0"/>
        <v>45179</v>
      </c>
      <c r="AM7" s="7">
        <f t="shared" si="0"/>
        <v>45186</v>
      </c>
      <c r="AN7" s="7">
        <f t="shared" si="0"/>
        <v>45193</v>
      </c>
      <c r="AO7" s="7">
        <f t="shared" si="0"/>
        <v>45200</v>
      </c>
      <c r="AP7" s="7">
        <f t="shared" si="0"/>
        <v>45207</v>
      </c>
      <c r="AQ7" s="7">
        <f t="shared" si="0"/>
        <v>45214</v>
      </c>
      <c r="AR7" s="7">
        <f t="shared" si="0"/>
        <v>45221</v>
      </c>
      <c r="AS7" s="7">
        <f t="shared" si="0"/>
        <v>45228</v>
      </c>
      <c r="AT7" s="7">
        <f t="shared" si="0"/>
        <v>45235</v>
      </c>
      <c r="AU7" s="7">
        <f t="shared" si="0"/>
        <v>45242</v>
      </c>
      <c r="AV7" s="7">
        <f t="shared" si="0"/>
        <v>45249</v>
      </c>
      <c r="AW7" s="7">
        <f t="shared" si="0"/>
        <v>45256</v>
      </c>
      <c r="AX7" s="7">
        <f t="shared" si="0"/>
        <v>45263</v>
      </c>
      <c r="AY7" s="7">
        <f t="shared" si="0"/>
        <v>45270</v>
      </c>
      <c r="AZ7" s="7">
        <f t="shared" si="0"/>
        <v>45277</v>
      </c>
      <c r="BA7" s="7">
        <f t="shared" si="0"/>
        <v>45284</v>
      </c>
      <c r="BB7" s="7">
        <f t="shared" si="0"/>
        <v>45291</v>
      </c>
      <c r="BC7" s="7">
        <v>45299</v>
      </c>
      <c r="BD7" s="7">
        <f t="shared" si="0"/>
        <v>45306</v>
      </c>
      <c r="BE7" s="7">
        <f t="shared" si="0"/>
        <v>45313</v>
      </c>
      <c r="BF7" s="7">
        <f t="shared" si="0"/>
        <v>45320</v>
      </c>
      <c r="BG7" s="7">
        <f t="shared" si="0"/>
        <v>45327</v>
      </c>
      <c r="BH7" s="7">
        <f>BG7+7</f>
        <v>45334</v>
      </c>
      <c r="BI7" s="7">
        <f t="shared" si="0"/>
        <v>45341</v>
      </c>
      <c r="BJ7" s="7">
        <f t="shared" ref="BJ7:CO7" si="1">BI7+7</f>
        <v>45348</v>
      </c>
      <c r="BK7" s="7">
        <f t="shared" si="1"/>
        <v>45355</v>
      </c>
      <c r="BL7" s="7">
        <f t="shared" si="1"/>
        <v>45362</v>
      </c>
      <c r="BM7" s="7">
        <f t="shared" si="1"/>
        <v>45369</v>
      </c>
      <c r="BN7" s="7">
        <f t="shared" si="1"/>
        <v>45376</v>
      </c>
      <c r="BO7" s="7">
        <f t="shared" si="1"/>
        <v>45383</v>
      </c>
      <c r="BP7" s="7">
        <f t="shared" si="1"/>
        <v>45390</v>
      </c>
      <c r="BQ7" s="7">
        <f t="shared" si="1"/>
        <v>45397</v>
      </c>
      <c r="BR7" s="7">
        <f t="shared" si="1"/>
        <v>45404</v>
      </c>
      <c r="BS7" s="7">
        <f t="shared" si="1"/>
        <v>45411</v>
      </c>
      <c r="BT7" s="7">
        <f t="shared" si="1"/>
        <v>45418</v>
      </c>
      <c r="BU7" s="7">
        <f t="shared" si="1"/>
        <v>45425</v>
      </c>
      <c r="BV7" s="7">
        <f t="shared" si="1"/>
        <v>45432</v>
      </c>
      <c r="BW7" s="7">
        <f t="shared" si="1"/>
        <v>45439</v>
      </c>
      <c r="BX7" s="7">
        <f t="shared" si="1"/>
        <v>45446</v>
      </c>
      <c r="BY7" s="7">
        <f t="shared" si="1"/>
        <v>45453</v>
      </c>
      <c r="BZ7" s="7">
        <f t="shared" si="1"/>
        <v>45460</v>
      </c>
      <c r="CA7" s="7">
        <f t="shared" si="1"/>
        <v>45467</v>
      </c>
      <c r="CB7" s="7">
        <f t="shared" si="1"/>
        <v>45474</v>
      </c>
      <c r="CC7" s="7">
        <f t="shared" si="1"/>
        <v>45481</v>
      </c>
      <c r="CD7" s="7">
        <f t="shared" si="1"/>
        <v>45488</v>
      </c>
      <c r="CE7" s="7">
        <f t="shared" si="1"/>
        <v>45495</v>
      </c>
      <c r="CF7" s="7">
        <f t="shared" si="1"/>
        <v>45502</v>
      </c>
      <c r="CG7" s="7">
        <f t="shared" si="1"/>
        <v>45509</v>
      </c>
      <c r="CH7" s="7">
        <f t="shared" si="1"/>
        <v>45516</v>
      </c>
      <c r="CI7" s="7">
        <f t="shared" si="1"/>
        <v>45523</v>
      </c>
      <c r="CJ7" s="7">
        <f t="shared" si="1"/>
        <v>45530</v>
      </c>
      <c r="CK7" s="7">
        <f t="shared" si="1"/>
        <v>45537</v>
      </c>
      <c r="CL7" s="7">
        <f t="shared" si="1"/>
        <v>45544</v>
      </c>
      <c r="CM7" s="7">
        <f t="shared" si="1"/>
        <v>45551</v>
      </c>
      <c r="CN7" s="7">
        <f t="shared" si="1"/>
        <v>45558</v>
      </c>
      <c r="CO7" s="7">
        <f t="shared" si="1"/>
        <v>45565</v>
      </c>
      <c r="CP7" s="7">
        <f t="shared" ref="CP7:DU7" si="2">CO7+7</f>
        <v>45572</v>
      </c>
      <c r="CQ7" s="7">
        <f t="shared" si="2"/>
        <v>45579</v>
      </c>
      <c r="CR7" s="7">
        <f t="shared" si="2"/>
        <v>45586</v>
      </c>
      <c r="CS7" s="7">
        <f t="shared" si="2"/>
        <v>45593</v>
      </c>
      <c r="CT7" s="7">
        <f t="shared" si="2"/>
        <v>45600</v>
      </c>
      <c r="CU7" s="7">
        <f t="shared" si="2"/>
        <v>45607</v>
      </c>
      <c r="CV7" s="7">
        <f t="shared" si="2"/>
        <v>45614</v>
      </c>
      <c r="CW7" s="7">
        <f t="shared" si="2"/>
        <v>45621</v>
      </c>
      <c r="CX7" s="7">
        <f t="shared" si="2"/>
        <v>45628</v>
      </c>
      <c r="CY7" s="7">
        <f>CX7+7</f>
        <v>45635</v>
      </c>
      <c r="CZ7" s="7">
        <f t="shared" si="2"/>
        <v>45642</v>
      </c>
      <c r="DA7" s="7">
        <f t="shared" si="2"/>
        <v>45649</v>
      </c>
      <c r="DB7" s="7">
        <f t="shared" si="2"/>
        <v>45656</v>
      </c>
      <c r="DC7" s="7">
        <f t="shared" si="2"/>
        <v>45663</v>
      </c>
      <c r="DD7" s="7">
        <f t="shared" si="2"/>
        <v>45670</v>
      </c>
      <c r="DE7" s="7">
        <f t="shared" si="2"/>
        <v>45677</v>
      </c>
      <c r="DF7" s="7">
        <f t="shared" si="2"/>
        <v>45684</v>
      </c>
      <c r="DG7" s="7">
        <f t="shared" si="2"/>
        <v>45691</v>
      </c>
      <c r="DH7" s="7">
        <f t="shared" si="2"/>
        <v>45698</v>
      </c>
      <c r="DI7" s="7">
        <f t="shared" si="2"/>
        <v>45705</v>
      </c>
      <c r="DJ7" s="7">
        <f t="shared" si="2"/>
        <v>45712</v>
      </c>
      <c r="DK7" s="7">
        <f t="shared" si="2"/>
        <v>45719</v>
      </c>
      <c r="DL7" s="7">
        <f t="shared" si="2"/>
        <v>45726</v>
      </c>
      <c r="DM7" s="7">
        <f t="shared" si="2"/>
        <v>45733</v>
      </c>
      <c r="DN7" s="7">
        <f t="shared" si="2"/>
        <v>45740</v>
      </c>
      <c r="DO7" s="7">
        <f t="shared" si="2"/>
        <v>45747</v>
      </c>
      <c r="DP7" s="7">
        <f t="shared" si="2"/>
        <v>45754</v>
      </c>
      <c r="DQ7" s="7">
        <f t="shared" si="2"/>
        <v>45761</v>
      </c>
      <c r="DR7" s="7">
        <f t="shared" si="2"/>
        <v>45768</v>
      </c>
      <c r="DS7" s="7">
        <f t="shared" si="2"/>
        <v>45775</v>
      </c>
      <c r="DT7" s="7">
        <f t="shared" si="2"/>
        <v>45782</v>
      </c>
      <c r="DU7" s="7">
        <f t="shared" si="2"/>
        <v>45789</v>
      </c>
      <c r="DV7" s="7">
        <f t="shared" ref="DV7:EJ7" si="3">DU7+7</f>
        <v>45796</v>
      </c>
      <c r="DW7" s="7">
        <f t="shared" si="3"/>
        <v>45803</v>
      </c>
      <c r="DX7" s="7">
        <f t="shared" si="3"/>
        <v>45810</v>
      </c>
      <c r="DY7" s="7">
        <f t="shared" si="3"/>
        <v>45817</v>
      </c>
      <c r="DZ7" s="7">
        <f t="shared" si="3"/>
        <v>45824</v>
      </c>
      <c r="EA7" s="7">
        <f t="shared" si="3"/>
        <v>45831</v>
      </c>
      <c r="EB7" s="7">
        <f t="shared" si="3"/>
        <v>45838</v>
      </c>
      <c r="EC7" s="7">
        <f t="shared" si="3"/>
        <v>45845</v>
      </c>
      <c r="ED7" s="7">
        <f t="shared" si="3"/>
        <v>45852</v>
      </c>
      <c r="EE7" s="7">
        <f t="shared" si="3"/>
        <v>45859</v>
      </c>
      <c r="EF7" s="7">
        <f t="shared" si="3"/>
        <v>45866</v>
      </c>
      <c r="EG7" s="7">
        <f t="shared" si="3"/>
        <v>45873</v>
      </c>
      <c r="EH7" s="7">
        <f t="shared" si="3"/>
        <v>45880</v>
      </c>
      <c r="EI7" s="7">
        <f t="shared" si="3"/>
        <v>45887</v>
      </c>
      <c r="EJ7" s="7">
        <f t="shared" si="3"/>
        <v>45894</v>
      </c>
      <c r="EK7" s="7">
        <f t="shared" ref="EK7" si="4">EJ7+7</f>
        <v>45901</v>
      </c>
      <c r="EL7" s="7">
        <f t="shared" ref="EL7" si="5">EK7+7</f>
        <v>45908</v>
      </c>
      <c r="EM7" s="7">
        <f t="shared" ref="EM7" si="6">EL7+7</f>
        <v>45915</v>
      </c>
      <c r="EN7" s="7">
        <f t="shared" ref="EN7" si="7">EM7+7</f>
        <v>45922</v>
      </c>
      <c r="EO7" s="7">
        <f t="shared" ref="EO7" si="8">EN7+7</f>
        <v>45929</v>
      </c>
      <c r="EP7" s="7">
        <f t="shared" ref="EP7" si="9">EO7+7</f>
        <v>45936</v>
      </c>
      <c r="EQ7" s="7">
        <f t="shared" ref="EQ7" si="10">EP7+7</f>
        <v>45943</v>
      </c>
      <c r="ER7" s="7">
        <f t="shared" ref="ER7" si="11">EQ7+7</f>
        <v>45950</v>
      </c>
      <c r="ES7" s="7">
        <f t="shared" ref="ES7" si="12">ER7+7</f>
        <v>45957</v>
      </c>
      <c r="ET7" s="7">
        <f t="shared" ref="ET7" si="13">ES7+7</f>
        <v>45964</v>
      </c>
      <c r="EU7" s="7">
        <f t="shared" ref="EU7" si="14">ET7+7</f>
        <v>45971</v>
      </c>
      <c r="EV7" s="7">
        <f t="shared" ref="EV7" si="15">EU7+7</f>
        <v>45978</v>
      </c>
      <c r="EW7" s="7">
        <f t="shared" ref="EW7" si="16">EV7+7</f>
        <v>45985</v>
      </c>
      <c r="EX7" s="7">
        <f t="shared" ref="EX7" si="17">EW7+7</f>
        <v>45992</v>
      </c>
      <c r="EY7" s="7">
        <f t="shared" ref="EY7" si="18">EX7+7</f>
        <v>45999</v>
      </c>
      <c r="EZ7" s="7">
        <f t="shared" ref="EZ7" si="19">EY7+7</f>
        <v>46006</v>
      </c>
      <c r="FA7" s="7">
        <f t="shared" ref="FA7" si="20">EZ7+7</f>
        <v>46013</v>
      </c>
      <c r="FB7" s="7">
        <f t="shared" ref="FB7" si="21">FA7+7</f>
        <v>46020</v>
      </c>
      <c r="FC7" s="7">
        <f t="shared" ref="FC7" si="22">FB7+7</f>
        <v>46027</v>
      </c>
      <c r="FD7" s="7">
        <f t="shared" ref="FD7" si="23">FC7+7</f>
        <v>46034</v>
      </c>
      <c r="FE7" s="7">
        <f t="shared" ref="FE7" si="24">FD7+7</f>
        <v>46041</v>
      </c>
      <c r="FF7" s="7">
        <f t="shared" ref="FF7" si="25">FE7+7</f>
        <v>46048</v>
      </c>
    </row>
    <row r="8" spans="1:162" s="71" customFormat="1" ht="21.75" customHeight="1" thickBot="1">
      <c r="A8" s="70" t="s">
        <v>38</v>
      </c>
      <c r="B8" s="71">
        <f>_xlfn.ISOWEEKNUM(B7)</f>
        <v>52</v>
      </c>
      <c r="C8" s="71">
        <f t="shared" ref="C8:Y8" si="26">_xlfn.ISOWEEKNUM(C7)</f>
        <v>1</v>
      </c>
      <c r="D8" s="71">
        <f t="shared" si="26"/>
        <v>2</v>
      </c>
      <c r="E8" s="71">
        <f t="shared" si="26"/>
        <v>3</v>
      </c>
      <c r="F8" s="71">
        <f t="shared" si="26"/>
        <v>4</v>
      </c>
      <c r="G8" s="71">
        <f t="shared" si="26"/>
        <v>5</v>
      </c>
      <c r="H8" s="71">
        <f t="shared" si="26"/>
        <v>6</v>
      </c>
      <c r="I8" s="71">
        <f t="shared" si="26"/>
        <v>7</v>
      </c>
      <c r="J8" s="71">
        <f t="shared" si="26"/>
        <v>8</v>
      </c>
      <c r="K8" s="71">
        <f t="shared" si="26"/>
        <v>9</v>
      </c>
      <c r="L8" s="71">
        <f t="shared" si="26"/>
        <v>10</v>
      </c>
      <c r="M8" s="71">
        <f t="shared" si="26"/>
        <v>11</v>
      </c>
      <c r="N8" s="71">
        <f t="shared" si="26"/>
        <v>12</v>
      </c>
      <c r="O8" s="71">
        <f t="shared" si="26"/>
        <v>13</v>
      </c>
      <c r="P8" s="71">
        <f t="shared" si="26"/>
        <v>14</v>
      </c>
      <c r="Q8" s="71">
        <f t="shared" si="26"/>
        <v>15</v>
      </c>
      <c r="R8" s="71">
        <f t="shared" si="26"/>
        <v>16</v>
      </c>
      <c r="S8" s="71">
        <f t="shared" si="26"/>
        <v>17</v>
      </c>
      <c r="T8" s="71">
        <f t="shared" si="26"/>
        <v>18</v>
      </c>
      <c r="U8" s="71">
        <f t="shared" si="26"/>
        <v>19</v>
      </c>
      <c r="V8" s="71">
        <f t="shared" si="26"/>
        <v>20</v>
      </c>
      <c r="W8" s="71">
        <f t="shared" si="26"/>
        <v>21</v>
      </c>
      <c r="X8" s="71">
        <f t="shared" si="26"/>
        <v>22</v>
      </c>
      <c r="Y8" s="71">
        <f t="shared" si="26"/>
        <v>23</v>
      </c>
      <c r="Z8" s="71">
        <f t="shared" ref="Z8:BH8" si="27">_xlfn.ISOWEEKNUM(Z7)</f>
        <v>24</v>
      </c>
      <c r="AA8" s="71">
        <f t="shared" si="27"/>
        <v>25</v>
      </c>
      <c r="AB8" s="71">
        <f t="shared" si="27"/>
        <v>26</v>
      </c>
      <c r="AC8" s="71">
        <f t="shared" si="27"/>
        <v>27</v>
      </c>
      <c r="AD8" s="71">
        <f t="shared" si="27"/>
        <v>28</v>
      </c>
      <c r="AE8" s="71">
        <f t="shared" si="27"/>
        <v>29</v>
      </c>
      <c r="AF8" s="71">
        <f t="shared" si="27"/>
        <v>30</v>
      </c>
      <c r="AG8" s="71">
        <f t="shared" si="27"/>
        <v>31</v>
      </c>
      <c r="AH8" s="71">
        <f t="shared" si="27"/>
        <v>32</v>
      </c>
      <c r="AI8" s="71">
        <f t="shared" si="27"/>
        <v>33</v>
      </c>
      <c r="AJ8" s="71">
        <f t="shared" si="27"/>
        <v>34</v>
      </c>
      <c r="AK8" s="71">
        <f t="shared" si="27"/>
        <v>35</v>
      </c>
      <c r="AL8" s="71">
        <f t="shared" si="27"/>
        <v>36</v>
      </c>
      <c r="AM8" s="71">
        <f t="shared" si="27"/>
        <v>37</v>
      </c>
      <c r="AN8" s="71">
        <f t="shared" si="27"/>
        <v>38</v>
      </c>
      <c r="AO8" s="71">
        <f t="shared" si="27"/>
        <v>39</v>
      </c>
      <c r="AP8" s="71">
        <f t="shared" si="27"/>
        <v>40</v>
      </c>
      <c r="AQ8" s="71">
        <f t="shared" si="27"/>
        <v>41</v>
      </c>
      <c r="AR8" s="71">
        <f t="shared" si="27"/>
        <v>42</v>
      </c>
      <c r="AS8" s="71">
        <f t="shared" si="27"/>
        <v>43</v>
      </c>
      <c r="AT8" s="71">
        <f t="shared" si="27"/>
        <v>44</v>
      </c>
      <c r="AU8" s="71">
        <f t="shared" si="27"/>
        <v>45</v>
      </c>
      <c r="AV8" s="71">
        <f t="shared" si="27"/>
        <v>46</v>
      </c>
      <c r="AW8" s="71">
        <f t="shared" si="27"/>
        <v>47</v>
      </c>
      <c r="AX8" s="71">
        <f t="shared" si="27"/>
        <v>48</v>
      </c>
      <c r="AY8" s="71">
        <f t="shared" si="27"/>
        <v>49</v>
      </c>
      <c r="AZ8" s="71">
        <f t="shared" si="27"/>
        <v>50</v>
      </c>
      <c r="BA8" s="71">
        <f t="shared" si="27"/>
        <v>51</v>
      </c>
      <c r="BB8" s="71">
        <f t="shared" si="27"/>
        <v>52</v>
      </c>
      <c r="BC8" s="71">
        <f t="shared" si="27"/>
        <v>2</v>
      </c>
      <c r="BD8" s="71">
        <f t="shared" si="27"/>
        <v>3</v>
      </c>
      <c r="BE8" s="71">
        <f t="shared" si="27"/>
        <v>4</v>
      </c>
      <c r="BF8" s="71">
        <f t="shared" si="27"/>
        <v>5</v>
      </c>
      <c r="BG8" s="71">
        <f t="shared" si="27"/>
        <v>6</v>
      </c>
      <c r="BH8" s="71">
        <f t="shared" si="27"/>
        <v>7</v>
      </c>
      <c r="BI8" s="71">
        <f t="shared" ref="BI8:CR8" si="28">_xlfn.ISOWEEKNUM(BI7)</f>
        <v>8</v>
      </c>
      <c r="BJ8" s="71">
        <f t="shared" si="28"/>
        <v>9</v>
      </c>
      <c r="BK8" s="71">
        <f>_xlfn.ISOWEEKNUM(BK7)</f>
        <v>10</v>
      </c>
      <c r="BL8" s="71">
        <f>_xlfn.ISOWEEKNUM(BL7)</f>
        <v>11</v>
      </c>
      <c r="BM8" s="71">
        <f t="shared" si="28"/>
        <v>12</v>
      </c>
      <c r="BN8" s="71">
        <f t="shared" si="28"/>
        <v>13</v>
      </c>
      <c r="BO8" s="71">
        <f>_xlfn.ISOWEEKNUM(BO7)</f>
        <v>14</v>
      </c>
      <c r="BP8" s="71">
        <f t="shared" si="28"/>
        <v>15</v>
      </c>
      <c r="BQ8" s="71">
        <f t="shared" si="28"/>
        <v>16</v>
      </c>
      <c r="BR8" s="71">
        <f>_xlfn.ISOWEEKNUM(BR7)</f>
        <v>17</v>
      </c>
      <c r="BS8" s="71">
        <f t="shared" si="28"/>
        <v>18</v>
      </c>
      <c r="BT8" s="71">
        <f t="shared" si="28"/>
        <v>19</v>
      </c>
      <c r="BU8" s="71">
        <f>_xlfn.ISOWEEKNUM(BU7)</f>
        <v>20</v>
      </c>
      <c r="BV8" s="71">
        <f t="shared" si="28"/>
        <v>21</v>
      </c>
      <c r="BW8" s="71">
        <f t="shared" si="28"/>
        <v>22</v>
      </c>
      <c r="BX8" s="71">
        <f>_xlfn.ISOWEEKNUM(BX7)</f>
        <v>23</v>
      </c>
      <c r="BY8" s="71">
        <f t="shared" si="28"/>
        <v>24</v>
      </c>
      <c r="BZ8" s="71">
        <f t="shared" si="28"/>
        <v>25</v>
      </c>
      <c r="CA8" s="71">
        <f>_xlfn.ISOWEEKNUM(CA7)</f>
        <v>26</v>
      </c>
      <c r="CB8" s="71">
        <f t="shared" si="28"/>
        <v>27</v>
      </c>
      <c r="CC8" s="71">
        <f t="shared" si="28"/>
        <v>28</v>
      </c>
      <c r="CD8" s="71">
        <f>_xlfn.ISOWEEKNUM(CD7)</f>
        <v>29</v>
      </c>
      <c r="CE8" s="71">
        <f t="shared" si="28"/>
        <v>30</v>
      </c>
      <c r="CF8" s="71">
        <f t="shared" si="28"/>
        <v>31</v>
      </c>
      <c r="CG8" s="71">
        <f>_xlfn.ISOWEEKNUM(CG7)</f>
        <v>32</v>
      </c>
      <c r="CH8" s="71">
        <f t="shared" si="28"/>
        <v>33</v>
      </c>
      <c r="CI8" s="71">
        <f t="shared" si="28"/>
        <v>34</v>
      </c>
      <c r="CJ8" s="71">
        <f>_xlfn.ISOWEEKNUM(CJ7)</f>
        <v>35</v>
      </c>
      <c r="CK8" s="71">
        <f t="shared" si="28"/>
        <v>36</v>
      </c>
      <c r="CL8" s="71">
        <f t="shared" si="28"/>
        <v>37</v>
      </c>
      <c r="CM8" s="71">
        <f>_xlfn.ISOWEEKNUM(CM7)</f>
        <v>38</v>
      </c>
      <c r="CN8" s="71">
        <f t="shared" si="28"/>
        <v>39</v>
      </c>
      <c r="CO8" s="71">
        <f t="shared" si="28"/>
        <v>40</v>
      </c>
      <c r="CP8" s="71">
        <f>_xlfn.ISOWEEKNUM(CP7)</f>
        <v>41</v>
      </c>
      <c r="CQ8" s="71">
        <f t="shared" si="28"/>
        <v>42</v>
      </c>
      <c r="CR8" s="71">
        <f t="shared" si="28"/>
        <v>43</v>
      </c>
      <c r="CS8" s="71">
        <f t="shared" ref="CS8:FD8" si="29">_xlfn.ISOWEEKNUM(CS7)</f>
        <v>44</v>
      </c>
      <c r="CT8" s="71">
        <f t="shared" si="29"/>
        <v>45</v>
      </c>
      <c r="CU8" s="71">
        <f t="shared" si="29"/>
        <v>46</v>
      </c>
      <c r="CV8" s="71">
        <f t="shared" si="29"/>
        <v>47</v>
      </c>
      <c r="CW8" s="71">
        <f t="shared" si="29"/>
        <v>48</v>
      </c>
      <c r="CX8" s="71">
        <f t="shared" si="29"/>
        <v>49</v>
      </c>
      <c r="CY8" s="71">
        <f t="shared" si="29"/>
        <v>50</v>
      </c>
      <c r="CZ8" s="71">
        <f t="shared" si="29"/>
        <v>51</v>
      </c>
      <c r="DA8" s="71">
        <f t="shared" si="29"/>
        <v>52</v>
      </c>
      <c r="DB8" s="71">
        <f t="shared" si="29"/>
        <v>1</v>
      </c>
      <c r="DC8" s="71">
        <f t="shared" si="29"/>
        <v>2</v>
      </c>
      <c r="DD8" s="71">
        <f t="shared" si="29"/>
        <v>3</v>
      </c>
      <c r="DE8" s="71">
        <f t="shared" si="29"/>
        <v>4</v>
      </c>
      <c r="DF8" s="71">
        <f t="shared" si="29"/>
        <v>5</v>
      </c>
      <c r="DG8" s="71">
        <f t="shared" si="29"/>
        <v>6</v>
      </c>
      <c r="DH8" s="71">
        <f t="shared" si="29"/>
        <v>7</v>
      </c>
      <c r="DI8" s="71">
        <f t="shared" si="29"/>
        <v>8</v>
      </c>
      <c r="DJ8" s="71">
        <f t="shared" si="29"/>
        <v>9</v>
      </c>
      <c r="DK8" s="71">
        <f t="shared" si="29"/>
        <v>10</v>
      </c>
      <c r="DL8" s="71">
        <f t="shared" si="29"/>
        <v>11</v>
      </c>
      <c r="DM8" s="71">
        <f t="shared" si="29"/>
        <v>12</v>
      </c>
      <c r="DN8" s="71">
        <f t="shared" si="29"/>
        <v>13</v>
      </c>
      <c r="DO8" s="71">
        <f t="shared" si="29"/>
        <v>14</v>
      </c>
      <c r="DP8" s="71">
        <f t="shared" si="29"/>
        <v>15</v>
      </c>
      <c r="DQ8" s="71">
        <f t="shared" si="29"/>
        <v>16</v>
      </c>
      <c r="DR8" s="71">
        <f t="shared" si="29"/>
        <v>17</v>
      </c>
      <c r="DS8" s="71">
        <f t="shared" si="29"/>
        <v>18</v>
      </c>
      <c r="DT8" s="71">
        <f t="shared" si="29"/>
        <v>19</v>
      </c>
      <c r="DU8" s="71">
        <f t="shared" si="29"/>
        <v>20</v>
      </c>
      <c r="DV8" s="71">
        <f t="shared" si="29"/>
        <v>21</v>
      </c>
      <c r="DW8" s="71">
        <f t="shared" si="29"/>
        <v>22</v>
      </c>
      <c r="DX8" s="71">
        <f t="shared" si="29"/>
        <v>23</v>
      </c>
      <c r="DY8" s="71">
        <f t="shared" si="29"/>
        <v>24</v>
      </c>
      <c r="DZ8" s="71">
        <f t="shared" si="29"/>
        <v>25</v>
      </c>
      <c r="EA8" s="71">
        <f t="shared" si="29"/>
        <v>26</v>
      </c>
      <c r="EB8" s="71">
        <f t="shared" si="29"/>
        <v>27</v>
      </c>
      <c r="EC8" s="71">
        <f t="shared" si="29"/>
        <v>28</v>
      </c>
      <c r="ED8" s="71">
        <f t="shared" si="29"/>
        <v>29</v>
      </c>
      <c r="EE8" s="71">
        <f t="shared" si="29"/>
        <v>30</v>
      </c>
      <c r="EF8" s="71">
        <f t="shared" si="29"/>
        <v>31</v>
      </c>
      <c r="EG8" s="71">
        <f t="shared" si="29"/>
        <v>32</v>
      </c>
      <c r="EH8" s="71">
        <f t="shared" si="29"/>
        <v>33</v>
      </c>
      <c r="EI8" s="71">
        <f t="shared" si="29"/>
        <v>34</v>
      </c>
      <c r="EJ8" s="71">
        <f t="shared" si="29"/>
        <v>35</v>
      </c>
      <c r="EK8" s="71">
        <f t="shared" si="29"/>
        <v>36</v>
      </c>
      <c r="EL8" s="71">
        <f t="shared" si="29"/>
        <v>37</v>
      </c>
      <c r="EM8" s="71">
        <f t="shared" si="29"/>
        <v>38</v>
      </c>
      <c r="EN8" s="71">
        <f t="shared" si="29"/>
        <v>39</v>
      </c>
      <c r="EO8" s="71">
        <f t="shared" si="29"/>
        <v>40</v>
      </c>
      <c r="EP8" s="71">
        <f t="shared" si="29"/>
        <v>41</v>
      </c>
      <c r="EQ8" s="71">
        <f t="shared" si="29"/>
        <v>42</v>
      </c>
      <c r="ER8" s="71">
        <f t="shared" si="29"/>
        <v>43</v>
      </c>
      <c r="ES8" s="71">
        <f t="shared" si="29"/>
        <v>44</v>
      </c>
      <c r="ET8" s="71">
        <f t="shared" si="29"/>
        <v>45</v>
      </c>
      <c r="EU8" s="71">
        <f t="shared" si="29"/>
        <v>46</v>
      </c>
      <c r="EV8" s="71">
        <f t="shared" si="29"/>
        <v>47</v>
      </c>
      <c r="EW8" s="71">
        <f t="shared" si="29"/>
        <v>48</v>
      </c>
      <c r="EX8" s="71">
        <f t="shared" si="29"/>
        <v>49</v>
      </c>
      <c r="EY8" s="71">
        <f t="shared" si="29"/>
        <v>50</v>
      </c>
      <c r="EZ8" s="71">
        <f t="shared" si="29"/>
        <v>51</v>
      </c>
      <c r="FA8" s="71">
        <f t="shared" si="29"/>
        <v>52</v>
      </c>
      <c r="FB8" s="71">
        <f t="shared" si="29"/>
        <v>1</v>
      </c>
      <c r="FC8" s="71">
        <f t="shared" si="29"/>
        <v>2</v>
      </c>
      <c r="FD8" s="71">
        <f t="shared" si="29"/>
        <v>3</v>
      </c>
      <c r="FE8" s="71">
        <f t="shared" ref="FE8:FF8" si="30">_xlfn.ISOWEEKNUM(FE7)</f>
        <v>4</v>
      </c>
      <c r="FF8" s="71">
        <f t="shared" si="30"/>
        <v>5</v>
      </c>
    </row>
    <row r="9" spans="1:162" s="5" customFormat="1" ht="30" customHeight="1" thickTop="1" thickBot="1">
      <c r="A9" s="4" t="s">
        <v>39</v>
      </c>
      <c r="B9" s="5">
        <f t="shared" ref="B9:AG9" si="31">COUNTA(B10:B20)</f>
        <v>0</v>
      </c>
      <c r="C9" s="5">
        <f t="shared" si="31"/>
        <v>0</v>
      </c>
      <c r="D9" s="5">
        <f t="shared" si="31"/>
        <v>0</v>
      </c>
      <c r="E9" s="5">
        <f t="shared" si="31"/>
        <v>0</v>
      </c>
      <c r="F9" s="5">
        <f t="shared" si="31"/>
        <v>0</v>
      </c>
      <c r="G9" s="5">
        <f t="shared" si="31"/>
        <v>1</v>
      </c>
      <c r="H9" s="5">
        <f t="shared" si="31"/>
        <v>1</v>
      </c>
      <c r="I9" s="5">
        <f t="shared" si="31"/>
        <v>1</v>
      </c>
      <c r="J9" s="5">
        <f t="shared" si="31"/>
        <v>1</v>
      </c>
      <c r="K9" s="5">
        <f t="shared" si="31"/>
        <v>1</v>
      </c>
      <c r="L9" s="5">
        <f t="shared" si="31"/>
        <v>0</v>
      </c>
      <c r="M9" s="5">
        <f t="shared" si="31"/>
        <v>0</v>
      </c>
      <c r="N9" s="5">
        <f t="shared" si="31"/>
        <v>0</v>
      </c>
      <c r="O9" s="5">
        <f t="shared" si="31"/>
        <v>0</v>
      </c>
      <c r="P9" s="5">
        <f t="shared" si="31"/>
        <v>1</v>
      </c>
      <c r="Q9" s="5">
        <f t="shared" si="31"/>
        <v>1</v>
      </c>
      <c r="R9" s="5">
        <f t="shared" si="31"/>
        <v>1</v>
      </c>
      <c r="S9" s="5">
        <f t="shared" si="31"/>
        <v>2</v>
      </c>
      <c r="T9" s="5">
        <f t="shared" si="31"/>
        <v>1</v>
      </c>
      <c r="U9" s="5">
        <f t="shared" si="31"/>
        <v>1</v>
      </c>
      <c r="V9" s="5">
        <f t="shared" si="31"/>
        <v>0</v>
      </c>
      <c r="W9" s="5">
        <f t="shared" si="31"/>
        <v>0</v>
      </c>
      <c r="X9" s="5">
        <f t="shared" si="31"/>
        <v>0</v>
      </c>
      <c r="Y9" s="5">
        <f t="shared" si="31"/>
        <v>1</v>
      </c>
      <c r="Z9" s="5">
        <f t="shared" si="31"/>
        <v>1</v>
      </c>
      <c r="AA9" s="5">
        <f t="shared" si="31"/>
        <v>1</v>
      </c>
      <c r="AB9" s="5">
        <f t="shared" si="31"/>
        <v>1</v>
      </c>
      <c r="AC9" s="5">
        <f t="shared" si="31"/>
        <v>1</v>
      </c>
      <c r="AD9" s="5">
        <f t="shared" si="31"/>
        <v>1</v>
      </c>
      <c r="AE9" s="5">
        <f t="shared" si="31"/>
        <v>1</v>
      </c>
      <c r="AF9" s="5">
        <f t="shared" si="31"/>
        <v>2</v>
      </c>
      <c r="AG9" s="5">
        <f t="shared" si="31"/>
        <v>2</v>
      </c>
      <c r="AH9" s="5">
        <f t="shared" ref="AH9:BM9" si="32">COUNTA(AH10:AH20)</f>
        <v>2</v>
      </c>
      <c r="AI9" s="5">
        <f t="shared" si="32"/>
        <v>1</v>
      </c>
      <c r="AJ9" s="5">
        <f t="shared" si="32"/>
        <v>1</v>
      </c>
      <c r="AK9" s="5">
        <f t="shared" si="32"/>
        <v>1</v>
      </c>
      <c r="AL9" s="5">
        <f t="shared" si="32"/>
        <v>1</v>
      </c>
      <c r="AM9" s="5">
        <f t="shared" si="32"/>
        <v>1</v>
      </c>
      <c r="AN9" s="5">
        <f t="shared" si="32"/>
        <v>1</v>
      </c>
      <c r="AO9" s="5">
        <f t="shared" si="32"/>
        <v>2</v>
      </c>
      <c r="AP9" s="5">
        <f t="shared" si="32"/>
        <v>2</v>
      </c>
      <c r="AQ9" s="5">
        <f t="shared" si="32"/>
        <v>2</v>
      </c>
      <c r="AR9" s="5">
        <f t="shared" si="32"/>
        <v>2</v>
      </c>
      <c r="AS9" s="5">
        <f t="shared" si="32"/>
        <v>2</v>
      </c>
      <c r="AT9" s="5">
        <f t="shared" si="32"/>
        <v>2</v>
      </c>
      <c r="AU9" s="5">
        <f t="shared" si="32"/>
        <v>3</v>
      </c>
      <c r="AV9" s="5">
        <f t="shared" si="32"/>
        <v>2</v>
      </c>
      <c r="AW9" s="5">
        <f t="shared" si="32"/>
        <v>2</v>
      </c>
      <c r="AX9" s="5">
        <f t="shared" si="32"/>
        <v>1</v>
      </c>
      <c r="AY9" s="5">
        <f t="shared" si="32"/>
        <v>2</v>
      </c>
      <c r="AZ9" s="5">
        <f t="shared" si="32"/>
        <v>4</v>
      </c>
      <c r="BA9" s="5">
        <f t="shared" si="32"/>
        <v>2</v>
      </c>
      <c r="BB9" s="5">
        <f t="shared" si="32"/>
        <v>2</v>
      </c>
      <c r="BC9" s="5">
        <f t="shared" si="32"/>
        <v>2</v>
      </c>
      <c r="BD9" s="5">
        <f t="shared" si="32"/>
        <v>3</v>
      </c>
      <c r="BE9" s="5">
        <f t="shared" si="32"/>
        <v>4</v>
      </c>
      <c r="BF9" s="5">
        <f t="shared" si="32"/>
        <v>5</v>
      </c>
      <c r="BG9" s="5">
        <f t="shared" si="32"/>
        <v>4</v>
      </c>
      <c r="BH9" s="5">
        <f t="shared" si="32"/>
        <v>5</v>
      </c>
      <c r="BI9" s="5">
        <f t="shared" si="32"/>
        <v>4</v>
      </c>
      <c r="BJ9" s="5">
        <f t="shared" si="32"/>
        <v>6</v>
      </c>
      <c r="BK9" s="5">
        <f t="shared" si="32"/>
        <v>5</v>
      </c>
      <c r="BL9" s="5">
        <f t="shared" si="32"/>
        <v>4</v>
      </c>
      <c r="BM9" s="5">
        <f t="shared" si="32"/>
        <v>6</v>
      </c>
      <c r="BN9" s="5">
        <f t="shared" ref="BN9:CB9" si="33">COUNTA(BN10:BN20)</f>
        <v>8</v>
      </c>
      <c r="BO9" s="5">
        <f t="shared" si="33"/>
        <v>7</v>
      </c>
      <c r="BP9" s="5">
        <f t="shared" si="33"/>
        <v>4</v>
      </c>
      <c r="BQ9" s="5">
        <f t="shared" si="33"/>
        <v>3</v>
      </c>
      <c r="BR9" s="5">
        <f t="shared" si="33"/>
        <v>4</v>
      </c>
      <c r="BS9" s="5">
        <f t="shared" si="33"/>
        <v>5</v>
      </c>
      <c r="BT9" s="5">
        <f t="shared" si="33"/>
        <v>5</v>
      </c>
      <c r="BU9" s="5">
        <f t="shared" si="33"/>
        <v>5</v>
      </c>
      <c r="BV9" s="5">
        <f t="shared" si="33"/>
        <v>5</v>
      </c>
      <c r="BW9" s="5">
        <f t="shared" si="33"/>
        <v>4</v>
      </c>
      <c r="BX9" s="5">
        <f t="shared" si="33"/>
        <v>5</v>
      </c>
      <c r="BY9" s="5">
        <f t="shared" si="33"/>
        <v>6</v>
      </c>
      <c r="BZ9" s="5">
        <f t="shared" si="33"/>
        <v>4</v>
      </c>
      <c r="CA9" s="5">
        <f t="shared" si="33"/>
        <v>6</v>
      </c>
      <c r="CB9" s="5">
        <f t="shared" si="33"/>
        <v>1</v>
      </c>
      <c r="CC9" s="67" t="s">
        <v>40</v>
      </c>
      <c r="CD9" s="68" t="s">
        <v>40</v>
      </c>
      <c r="CE9" s="69" t="s">
        <v>41</v>
      </c>
      <c r="CF9" s="5">
        <f>COUNTA(CF10:CF20)</f>
        <v>6</v>
      </c>
      <c r="CG9" s="5">
        <f>COUNTA(CG10:CG20)</f>
        <v>4</v>
      </c>
      <c r="CH9" s="5">
        <f>COUNTA(CH10:CH20)</f>
        <v>3</v>
      </c>
      <c r="CI9" s="5">
        <f>COUNTA(CI10:CI20)</f>
        <v>5</v>
      </c>
      <c r="CJ9" s="5">
        <f>COUNTA(CJ10:CJ20)</f>
        <v>3</v>
      </c>
      <c r="CK9" s="5">
        <f>COUNTA(CK11:CK18)</f>
        <v>3</v>
      </c>
      <c r="CL9" s="5">
        <f>COUNTA(CL11:CL18)</f>
        <v>2</v>
      </c>
      <c r="CM9" s="5">
        <f>COUNTA(CM11:CM20)</f>
        <v>5</v>
      </c>
      <c r="CN9" s="5">
        <f>COUNTA(CN11:CN20)</f>
        <v>3</v>
      </c>
      <c r="CO9" s="5">
        <f t="shared" ref="CO9:DZ9" si="34">COUNTA(CO10:CO20)</f>
        <v>4</v>
      </c>
      <c r="CP9" s="5">
        <f t="shared" si="34"/>
        <v>4</v>
      </c>
      <c r="CQ9" s="5">
        <f t="shared" si="34"/>
        <v>3</v>
      </c>
      <c r="CR9" s="5">
        <f t="shared" si="34"/>
        <v>3</v>
      </c>
      <c r="CS9" s="5">
        <f t="shared" si="34"/>
        <v>4</v>
      </c>
      <c r="CT9" s="5">
        <f t="shared" si="34"/>
        <v>5</v>
      </c>
      <c r="CU9" s="5">
        <f t="shared" si="34"/>
        <v>6</v>
      </c>
      <c r="CV9" s="5">
        <f t="shared" si="34"/>
        <v>3</v>
      </c>
      <c r="CW9" s="5">
        <f t="shared" si="34"/>
        <v>3</v>
      </c>
      <c r="CX9" s="5">
        <f t="shared" si="34"/>
        <v>5</v>
      </c>
      <c r="CY9" s="5">
        <f t="shared" si="34"/>
        <v>1</v>
      </c>
      <c r="CZ9" s="5">
        <f t="shared" si="34"/>
        <v>1</v>
      </c>
      <c r="DA9" s="5">
        <f t="shared" si="34"/>
        <v>0</v>
      </c>
      <c r="DB9" s="5">
        <f t="shared" si="34"/>
        <v>2</v>
      </c>
      <c r="DC9" s="5">
        <f t="shared" si="34"/>
        <v>3</v>
      </c>
      <c r="DD9" s="5">
        <f t="shared" si="34"/>
        <v>5</v>
      </c>
      <c r="DE9" s="5">
        <f t="shared" si="34"/>
        <v>5</v>
      </c>
      <c r="DF9" s="5">
        <f t="shared" si="34"/>
        <v>3</v>
      </c>
      <c r="DG9" s="5">
        <f t="shared" si="34"/>
        <v>4</v>
      </c>
      <c r="DH9" s="5">
        <f t="shared" si="34"/>
        <v>3</v>
      </c>
      <c r="DI9" s="5">
        <f>COUNTA(DI10:DI20)</f>
        <v>4</v>
      </c>
      <c r="DJ9" s="5">
        <f t="shared" si="34"/>
        <v>3</v>
      </c>
      <c r="DK9" s="5">
        <f t="shared" si="34"/>
        <v>6</v>
      </c>
      <c r="DL9" s="5">
        <f t="shared" si="34"/>
        <v>2</v>
      </c>
      <c r="DM9" s="5">
        <f t="shared" si="34"/>
        <v>3</v>
      </c>
      <c r="DN9" s="5">
        <v>2</v>
      </c>
      <c r="DO9" s="5">
        <f t="shared" si="34"/>
        <v>3</v>
      </c>
      <c r="DP9" s="5">
        <f t="shared" si="34"/>
        <v>2</v>
      </c>
      <c r="DQ9" s="5">
        <f t="shared" si="34"/>
        <v>2</v>
      </c>
      <c r="DR9" s="5">
        <f t="shared" si="34"/>
        <v>2</v>
      </c>
      <c r="DS9" s="5">
        <f t="shared" si="34"/>
        <v>3</v>
      </c>
      <c r="DT9" s="5">
        <f t="shared" si="34"/>
        <v>1</v>
      </c>
      <c r="DU9" s="5">
        <f t="shared" si="34"/>
        <v>3</v>
      </c>
      <c r="DV9" s="5">
        <f t="shared" si="34"/>
        <v>2</v>
      </c>
      <c r="DW9" s="5">
        <f t="shared" si="34"/>
        <v>3</v>
      </c>
      <c r="DX9" s="5">
        <f t="shared" si="34"/>
        <v>3</v>
      </c>
      <c r="DY9" s="5">
        <f t="shared" si="34"/>
        <v>3</v>
      </c>
      <c r="DZ9" s="5">
        <f t="shared" si="34"/>
        <v>2</v>
      </c>
    </row>
    <row r="10" spans="1:162" ht="32.25" customHeight="1" outlineLevel="1" thickTop="1" thickBot="1">
      <c r="A10" s="17" t="s">
        <v>42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 t="s">
        <v>43</v>
      </c>
      <c r="T10" s="12" t="s">
        <v>44</v>
      </c>
      <c r="U10" s="11" t="s">
        <v>45</v>
      </c>
      <c r="V10" s="10"/>
      <c r="W10" s="10"/>
      <c r="X10" s="10"/>
      <c r="Y10" s="10"/>
      <c r="Z10" s="10"/>
      <c r="AA10" s="10"/>
      <c r="AB10" s="13" t="s">
        <v>46</v>
      </c>
      <c r="AC10" s="13" t="s">
        <v>40</v>
      </c>
      <c r="AD10" s="13" t="s">
        <v>40</v>
      </c>
      <c r="AE10" s="13" t="s">
        <v>40</v>
      </c>
      <c r="AF10" s="13" t="s">
        <v>47</v>
      </c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1" t="s">
        <v>48</v>
      </c>
      <c r="BA10" s="13" t="s">
        <v>46</v>
      </c>
      <c r="BB10" s="13" t="s">
        <v>40</v>
      </c>
      <c r="BC10" s="23" t="s">
        <v>47</v>
      </c>
      <c r="BD10" s="24"/>
      <c r="BE10" s="25" t="s">
        <v>49</v>
      </c>
      <c r="BF10" s="26" t="s">
        <v>49</v>
      </c>
      <c r="BG10" s="26" t="s">
        <v>49</v>
      </c>
      <c r="BH10" s="26" t="s">
        <v>49</v>
      </c>
      <c r="BI10" s="31" t="s">
        <v>50</v>
      </c>
      <c r="BJ10" s="30" t="s">
        <v>51</v>
      </c>
      <c r="BK10" s="93" t="s">
        <v>52</v>
      </c>
      <c r="BL10" s="94" t="s">
        <v>45</v>
      </c>
      <c r="BM10" s="93" t="s">
        <v>52</v>
      </c>
      <c r="BN10" s="95" t="s">
        <v>45</v>
      </c>
      <c r="BO10" s="31" t="s">
        <v>53</v>
      </c>
      <c r="BP10" s="31"/>
      <c r="BQ10" s="107" t="s">
        <v>54</v>
      </c>
      <c r="BR10" s="109" t="s">
        <v>55</v>
      </c>
      <c r="BS10" s="109" t="s">
        <v>55</v>
      </c>
      <c r="BT10" s="112"/>
      <c r="BU10" s="124"/>
      <c r="BV10" s="112"/>
      <c r="BW10" s="112"/>
      <c r="BX10" s="30" t="s">
        <v>51</v>
      </c>
      <c r="BY10" s="126" t="s">
        <v>52</v>
      </c>
      <c r="BZ10" s="123" t="s">
        <v>45</v>
      </c>
      <c r="CA10" s="126" t="s">
        <v>52</v>
      </c>
      <c r="CB10" s="127" t="s">
        <v>45</v>
      </c>
      <c r="CC10" s="19"/>
      <c r="CD10" s="19"/>
      <c r="CE10" s="19"/>
      <c r="CF10" s="171" t="s">
        <v>56</v>
      </c>
      <c r="CG10" s="146" t="s">
        <v>57</v>
      </c>
      <c r="CH10" s="146"/>
      <c r="CI10" s="146"/>
      <c r="CJ10" s="146"/>
      <c r="CK10" s="146"/>
      <c r="CL10" s="146"/>
      <c r="CM10" s="146"/>
      <c r="CN10" s="147"/>
      <c r="CO10" s="39" t="s">
        <v>58</v>
      </c>
      <c r="CP10" s="165" t="s">
        <v>59</v>
      </c>
      <c r="CQ10" s="165"/>
      <c r="CR10" s="40" t="s">
        <v>45</v>
      </c>
      <c r="CS10" s="189" t="s">
        <v>60</v>
      </c>
      <c r="CT10" s="141"/>
      <c r="CU10" s="39"/>
      <c r="CV10" s="41" t="s">
        <v>61</v>
      </c>
      <c r="CW10" s="41"/>
      <c r="CX10" s="38"/>
      <c r="CY10" s="38"/>
      <c r="CZ10" s="40"/>
      <c r="DA10" s="19"/>
      <c r="DB10" s="19" t="s">
        <v>62</v>
      </c>
      <c r="DC10" s="236" t="s">
        <v>58</v>
      </c>
      <c r="DD10" s="248" t="s">
        <v>63</v>
      </c>
      <c r="DE10" s="132" t="s">
        <v>64</v>
      </c>
      <c r="DF10" s="128" t="s">
        <v>65</v>
      </c>
      <c r="DG10" s="232" t="s">
        <v>66</v>
      </c>
      <c r="DH10" s="187" t="s">
        <v>64</v>
      </c>
      <c r="DI10" s="249" t="s">
        <v>67</v>
      </c>
      <c r="DJ10" s="188" t="s">
        <v>67</v>
      </c>
      <c r="DK10" s="188" t="s">
        <v>67</v>
      </c>
      <c r="DL10" s="94" t="s">
        <v>64</v>
      </c>
      <c r="DM10" s="192" t="s">
        <v>68</v>
      </c>
      <c r="DN10" s="192"/>
      <c r="DO10" s="246"/>
      <c r="DP10" s="5"/>
      <c r="DR10" s="221"/>
      <c r="DS10" s="242" t="s">
        <v>69</v>
      </c>
      <c r="DT10" s="242"/>
      <c r="DU10" s="242"/>
      <c r="DV10" s="243"/>
      <c r="DW10" s="149"/>
      <c r="DX10" s="188" t="s">
        <v>70</v>
      </c>
      <c r="DY10" s="188" t="s">
        <v>70</v>
      </c>
      <c r="DZ10" s="94"/>
      <c r="EA10" s="188" t="s">
        <v>70</v>
      </c>
      <c r="EB10" s="188" t="s">
        <v>70</v>
      </c>
      <c r="EC10" s="141"/>
      <c r="ED10" s="5"/>
      <c r="EE10" s="5"/>
      <c r="EF10" s="10"/>
      <c r="EG10" s="10"/>
      <c r="EH10" s="10"/>
      <c r="EI10" s="10"/>
      <c r="EJ10" s="10"/>
      <c r="EN10" s="3" t="s">
        <v>71</v>
      </c>
    </row>
    <row r="11" spans="1:162" ht="34.5" customHeight="1" outlineLevel="1" thickTop="1" thickBot="1">
      <c r="A11" s="17" t="s">
        <v>72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22"/>
      <c r="T11" s="56"/>
      <c r="U11" s="22"/>
      <c r="V11" s="10"/>
      <c r="W11" s="10"/>
      <c r="X11" s="10"/>
      <c r="Y11" s="10"/>
      <c r="Z11" s="10"/>
      <c r="AA11" s="10"/>
      <c r="AB11" s="57"/>
      <c r="AC11" s="57"/>
      <c r="AD11" s="57"/>
      <c r="AE11" s="57"/>
      <c r="AF11" s="57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22"/>
      <c r="BA11" s="57"/>
      <c r="BB11" s="57"/>
      <c r="BC11" s="58"/>
      <c r="BD11" s="58"/>
      <c r="BE11" s="59"/>
      <c r="BF11" s="59"/>
      <c r="BG11" s="59"/>
      <c r="BH11" s="59"/>
      <c r="BI11" s="60"/>
      <c r="BJ11" s="60"/>
      <c r="BK11" s="98" t="s">
        <v>73</v>
      </c>
      <c r="BL11" s="72" t="s">
        <v>74</v>
      </c>
      <c r="BM11" s="99" t="s">
        <v>74</v>
      </c>
      <c r="BN11" s="100" t="s">
        <v>75</v>
      </c>
      <c r="BO11" s="116" t="s">
        <v>76</v>
      </c>
      <c r="BP11" s="102" t="s">
        <v>77</v>
      </c>
      <c r="BQ11" s="108" t="s">
        <v>78</v>
      </c>
      <c r="BR11" s="92" t="s">
        <v>55</v>
      </c>
      <c r="BS11" s="33" t="s">
        <v>79</v>
      </c>
      <c r="BT11" s="33" t="s">
        <v>80</v>
      </c>
      <c r="BU11" s="33" t="s">
        <v>81</v>
      </c>
      <c r="BV11" s="33" t="s">
        <v>81</v>
      </c>
      <c r="BW11" s="148" t="s">
        <v>82</v>
      </c>
      <c r="BX11" s="125" t="s">
        <v>82</v>
      </c>
      <c r="BY11" s="149" t="s">
        <v>83</v>
      </c>
      <c r="BZ11" s="84" t="s">
        <v>84</v>
      </c>
      <c r="CA11" s="84"/>
      <c r="CB11" s="129"/>
      <c r="CC11" s="19" t="s">
        <v>85</v>
      </c>
      <c r="CD11" s="19"/>
      <c r="CE11" s="166" t="s">
        <v>86</v>
      </c>
      <c r="CF11" s="142"/>
      <c r="CG11" s="190"/>
      <c r="CH11" s="191"/>
      <c r="CI11" s="10"/>
      <c r="CK11" s="229" t="s">
        <v>87</v>
      </c>
      <c r="CL11" s="199"/>
      <c r="CM11" s="186" t="s">
        <v>49</v>
      </c>
      <c r="CN11" s="204" t="s">
        <v>88</v>
      </c>
      <c r="CO11" s="205" t="s">
        <v>89</v>
      </c>
      <c r="CP11" s="187"/>
      <c r="CQ11" s="203" t="s">
        <v>90</v>
      </c>
      <c r="CR11" s="203"/>
      <c r="CS11" s="203"/>
      <c r="CT11" s="5" t="s">
        <v>91</v>
      </c>
      <c r="CU11" s="5"/>
      <c r="CV11" s="5"/>
      <c r="CW11" s="5"/>
      <c r="CX11" s="19"/>
      <c r="CY11" s="19"/>
      <c r="CZ11" s="19"/>
      <c r="DA11" s="19"/>
      <c r="DB11" s="19" t="s">
        <v>92</v>
      </c>
      <c r="DC11" s="149" t="s">
        <v>58</v>
      </c>
      <c r="DD11" s="74"/>
      <c r="DE11" s="247" t="s">
        <v>63</v>
      </c>
      <c r="DF11" s="207" t="s">
        <v>64</v>
      </c>
      <c r="DG11" s="75" t="s">
        <v>65</v>
      </c>
      <c r="DH11" s="165" t="s">
        <v>93</v>
      </c>
      <c r="DI11" s="207" t="s">
        <v>64</v>
      </c>
      <c r="DJ11" s="5"/>
      <c r="DK11" s="5"/>
      <c r="DL11" s="5"/>
      <c r="DN11" s="3" t="s">
        <v>94</v>
      </c>
      <c r="DT11" s="5"/>
      <c r="DU11" s="5"/>
      <c r="EA11" s="3" t="s">
        <v>95</v>
      </c>
      <c r="EB11" s="3" t="s">
        <v>96</v>
      </c>
      <c r="EC11" s="5"/>
      <c r="ED11" s="5"/>
      <c r="EE11" s="5"/>
      <c r="EF11" s="3" t="s">
        <v>97</v>
      </c>
      <c r="EG11" s="3" t="s">
        <v>98</v>
      </c>
      <c r="EH11" s="3" t="s">
        <v>98</v>
      </c>
    </row>
    <row r="12" spans="1:162" ht="28.5" customHeight="1" outlineLevel="1" thickTop="1" thickBot="1">
      <c r="A12" s="17" t="s">
        <v>99</v>
      </c>
      <c r="D12" s="10"/>
      <c r="E12" s="10"/>
      <c r="F12" s="10"/>
      <c r="G12" s="11" t="s">
        <v>100</v>
      </c>
      <c r="H12" s="63" t="s">
        <v>101</v>
      </c>
      <c r="I12" s="64" t="s">
        <v>44</v>
      </c>
      <c r="J12" s="64" t="s">
        <v>102</v>
      </c>
      <c r="K12" s="11" t="s">
        <v>45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 t="s">
        <v>103</v>
      </c>
      <c r="Z12" s="63" t="s">
        <v>104</v>
      </c>
      <c r="AA12" s="11" t="s">
        <v>45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1" t="s">
        <v>105</v>
      </c>
      <c r="AV12" s="65" t="s">
        <v>105</v>
      </c>
      <c r="AW12" s="65" t="s">
        <v>105</v>
      </c>
      <c r="AX12" s="65" t="s">
        <v>105</v>
      </c>
      <c r="AY12" s="65" t="s">
        <v>63</v>
      </c>
      <c r="AZ12" s="65" t="s">
        <v>63</v>
      </c>
      <c r="BA12" s="65" t="s">
        <v>63</v>
      </c>
      <c r="BB12" s="66" t="s">
        <v>63</v>
      </c>
      <c r="BC12" s="27" t="s">
        <v>106</v>
      </c>
      <c r="BD12" s="44" t="s">
        <v>63</v>
      </c>
      <c r="BE12" s="28" t="s">
        <v>107</v>
      </c>
      <c r="BF12" s="44" t="s">
        <v>63</v>
      </c>
      <c r="BG12" s="44" t="s">
        <v>63</v>
      </c>
      <c r="BH12" s="29" t="s">
        <v>108</v>
      </c>
      <c r="BI12" s="73"/>
      <c r="BJ12" s="75" t="s">
        <v>109</v>
      </c>
      <c r="BK12" s="76"/>
      <c r="BL12" s="76"/>
      <c r="BM12" s="96" t="s">
        <v>110</v>
      </c>
      <c r="BN12" s="74" t="s">
        <v>76</v>
      </c>
      <c r="BO12" s="74" t="s">
        <v>76</v>
      </c>
      <c r="BP12" s="76" t="s">
        <v>111</v>
      </c>
      <c r="BQ12" s="76"/>
      <c r="BR12" s="118" t="s">
        <v>112</v>
      </c>
      <c r="BS12" s="137" t="s">
        <v>113</v>
      </c>
      <c r="BT12" s="103"/>
      <c r="BU12" s="103"/>
      <c r="BV12" s="136"/>
      <c r="BW12" s="136"/>
      <c r="BX12" s="118" t="s">
        <v>114</v>
      </c>
      <c r="BY12" s="145"/>
      <c r="BZ12" s="145"/>
      <c r="CA12" s="170" t="s">
        <v>115</v>
      </c>
      <c r="CB12" s="145"/>
      <c r="CC12" s="19"/>
      <c r="CD12" s="19"/>
      <c r="CE12" s="183" t="s">
        <v>116</v>
      </c>
      <c r="CF12" s="198" t="s">
        <v>117</v>
      </c>
      <c r="CG12" s="168" t="s">
        <v>118</v>
      </c>
      <c r="CH12" s="168" t="s">
        <v>119</v>
      </c>
      <c r="CI12" s="146" t="s">
        <v>120</v>
      </c>
      <c r="CJ12" s="147" t="s">
        <v>121</v>
      </c>
      <c r="CK12" s="149" t="s">
        <v>122</v>
      </c>
      <c r="CL12" s="146"/>
      <c r="CM12" s="146" t="s">
        <v>123</v>
      </c>
      <c r="CN12" s="146"/>
      <c r="CO12" s="147" t="s">
        <v>124</v>
      </c>
      <c r="CP12" s="200" t="s">
        <v>125</v>
      </c>
      <c r="CQ12" s="96" t="s">
        <v>126</v>
      </c>
      <c r="CR12" s="96" t="s">
        <v>126</v>
      </c>
      <c r="CS12" s="96" t="s">
        <v>127</v>
      </c>
      <c r="CT12" s="146" t="s">
        <v>128</v>
      </c>
      <c r="CU12" s="146" t="s">
        <v>129</v>
      </c>
      <c r="CV12" s="94" t="s">
        <v>130</v>
      </c>
      <c r="CW12" s="146" t="s">
        <v>129</v>
      </c>
      <c r="CX12" s="169" t="s">
        <v>131</v>
      </c>
      <c r="CY12" s="82"/>
      <c r="CZ12" s="172"/>
      <c r="DA12" s="74"/>
      <c r="DB12" s="74"/>
      <c r="DC12" s="251"/>
      <c r="DD12" s="252" t="s">
        <v>132</v>
      </c>
      <c r="DE12" s="252" t="s">
        <v>133</v>
      </c>
      <c r="DF12" s="252" t="s">
        <v>134</v>
      </c>
      <c r="DG12" s="236"/>
      <c r="DH12" s="196" t="s">
        <v>63</v>
      </c>
      <c r="DI12" s="185" t="s">
        <v>135</v>
      </c>
      <c r="DJ12" s="167"/>
      <c r="DK12" s="250" t="s">
        <v>136</v>
      </c>
      <c r="DL12" s="114"/>
      <c r="DM12" s="233"/>
      <c r="DN12" s="39"/>
      <c r="DO12" s="202" t="s">
        <v>63</v>
      </c>
      <c r="DP12" s="202"/>
      <c r="DQ12" s="202"/>
      <c r="DR12" s="202"/>
      <c r="DS12" s="40"/>
      <c r="DT12" s="5"/>
      <c r="DU12" s="5" t="s">
        <v>137</v>
      </c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3" t="s">
        <v>138</v>
      </c>
      <c r="EQ12" s="189" t="s">
        <v>139</v>
      </c>
      <c r="ER12" s="192"/>
      <c r="ES12" s="192"/>
      <c r="ET12" s="192"/>
      <c r="EU12" s="192"/>
      <c r="EV12" s="192"/>
      <c r="EW12" s="192"/>
      <c r="EX12" s="192"/>
      <c r="EY12" s="246"/>
    </row>
    <row r="13" spans="1:162" ht="30" customHeight="1" outlineLevel="1" thickBot="1">
      <c r="A13" s="17" t="s">
        <v>140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 t="s">
        <v>141</v>
      </c>
      <c r="Q13" s="63" t="s">
        <v>101</v>
      </c>
      <c r="R13" s="64" t="s">
        <v>44</v>
      </c>
      <c r="S13" s="11" t="s">
        <v>45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1" t="s">
        <v>141</v>
      </c>
      <c r="AG13" s="15" t="s">
        <v>44</v>
      </c>
      <c r="AH13" s="11" t="s">
        <v>45</v>
      </c>
      <c r="AI13" s="10"/>
      <c r="AJ13" s="10"/>
      <c r="AK13" s="10"/>
      <c r="AL13" s="10"/>
      <c r="AM13" s="10"/>
      <c r="AN13" s="10"/>
      <c r="AO13" s="11" t="s">
        <v>142</v>
      </c>
      <c r="AP13" s="65" t="s">
        <v>142</v>
      </c>
      <c r="AQ13" s="65" t="s">
        <v>142</v>
      </c>
      <c r="AR13" s="65" t="s">
        <v>142</v>
      </c>
      <c r="AS13" s="65" t="s">
        <v>142</v>
      </c>
      <c r="AT13" s="65" t="s">
        <v>142</v>
      </c>
      <c r="AU13" s="11" t="s">
        <v>142</v>
      </c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S13" s="39" t="s">
        <v>58</v>
      </c>
      <c r="BT13" s="76" t="s">
        <v>143</v>
      </c>
      <c r="BU13" s="96" t="s">
        <v>144</v>
      </c>
      <c r="BV13" s="96" t="s">
        <v>144</v>
      </c>
      <c r="BW13" s="134" t="s">
        <v>64</v>
      </c>
      <c r="BX13" s="140" t="s">
        <v>64</v>
      </c>
      <c r="BY13" s="39" t="s">
        <v>58</v>
      </c>
      <c r="BZ13" s="38" t="s">
        <v>145</v>
      </c>
      <c r="CA13" s="134" t="s">
        <v>64</v>
      </c>
      <c r="CB13" s="40"/>
      <c r="CC13" s="19"/>
      <c r="CD13" s="19"/>
      <c r="CE13" s="143"/>
      <c r="CH13" s="153"/>
      <c r="CI13" s="182" t="s">
        <v>146</v>
      </c>
      <c r="CJ13" s="197"/>
      <c r="CL13" s="10"/>
      <c r="CM13" s="10"/>
      <c r="CN13" s="213"/>
      <c r="CS13" s="231" t="s">
        <v>147</v>
      </c>
      <c r="CT13" s="232" t="s">
        <v>148</v>
      </c>
      <c r="CU13" s="232" t="s">
        <v>148</v>
      </c>
      <c r="CV13" s="201"/>
      <c r="CX13" s="3" t="s">
        <v>149</v>
      </c>
      <c r="CZ13" s="10"/>
      <c r="DA13" s="19"/>
      <c r="DB13" s="19"/>
      <c r="DC13" s="149"/>
      <c r="DD13" s="255" t="s">
        <v>150</v>
      </c>
      <c r="DE13" s="256" t="s">
        <v>150</v>
      </c>
      <c r="DF13" s="134"/>
      <c r="DG13" s="40" t="s">
        <v>64</v>
      </c>
      <c r="DH13" s="117"/>
      <c r="DI13" s="234" t="s">
        <v>151</v>
      </c>
      <c r="DJ13" s="234" t="s">
        <v>151</v>
      </c>
      <c r="DK13" s="234" t="s">
        <v>151</v>
      </c>
      <c r="DL13" s="235"/>
      <c r="DM13" s="3" t="s">
        <v>152</v>
      </c>
      <c r="DN13" s="236"/>
      <c r="DO13" s="237" t="s">
        <v>153</v>
      </c>
      <c r="DP13" s="237" t="s">
        <v>154</v>
      </c>
      <c r="DQ13" s="237" t="s">
        <v>154</v>
      </c>
      <c r="DR13" s="237" t="s">
        <v>154</v>
      </c>
      <c r="DS13" s="238" t="s">
        <v>154</v>
      </c>
      <c r="DT13" s="149"/>
      <c r="DU13" s="208" t="s">
        <v>155</v>
      </c>
      <c r="DV13" s="208" t="s">
        <v>155</v>
      </c>
      <c r="DW13" s="208" t="s">
        <v>155</v>
      </c>
      <c r="DX13" s="167"/>
      <c r="EC13" s="5"/>
      <c r="ED13" s="5"/>
      <c r="EE13" s="5"/>
      <c r="EF13" s="3" t="s">
        <v>156</v>
      </c>
    </row>
    <row r="14" spans="1:162" ht="30" customHeight="1" outlineLevel="1" thickTop="1" thickBot="1">
      <c r="A14" s="17" t="s">
        <v>157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1" t="s">
        <v>158</v>
      </c>
      <c r="AH14" s="16" t="s">
        <v>159</v>
      </c>
      <c r="AI14" s="16" t="s">
        <v>160</v>
      </c>
      <c r="AJ14" s="16" t="s">
        <v>161</v>
      </c>
      <c r="AK14" s="16" t="s">
        <v>49</v>
      </c>
      <c r="AL14" s="16" t="s">
        <v>49</v>
      </c>
      <c r="AM14" s="16" t="s">
        <v>49</v>
      </c>
      <c r="AN14" s="16" t="s">
        <v>49</v>
      </c>
      <c r="AO14" s="46" t="s">
        <v>49</v>
      </c>
      <c r="AP14" s="46" t="s">
        <v>162</v>
      </c>
      <c r="AQ14" s="46" t="s">
        <v>162</v>
      </c>
      <c r="AR14" s="46" t="s">
        <v>162</v>
      </c>
      <c r="AS14" s="46" t="s">
        <v>162</v>
      </c>
      <c r="AT14" s="46" t="s">
        <v>163</v>
      </c>
      <c r="AU14" s="46" t="s">
        <v>163</v>
      </c>
      <c r="AV14" s="46" t="s">
        <v>163</v>
      </c>
      <c r="AW14" s="13" t="s">
        <v>164</v>
      </c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85" t="s">
        <v>162</v>
      </c>
      <c r="BI14" s="86" t="s">
        <v>162</v>
      </c>
      <c r="BJ14" s="87" t="s">
        <v>165</v>
      </c>
      <c r="BK14" s="88" t="s">
        <v>166</v>
      </c>
      <c r="BL14" s="85" t="s">
        <v>167</v>
      </c>
      <c r="BM14" s="89" t="s">
        <v>162</v>
      </c>
      <c r="BN14" s="89" t="s">
        <v>162</v>
      </c>
      <c r="BO14" s="90" t="s">
        <v>162</v>
      </c>
      <c r="BP14" s="85" t="s">
        <v>162</v>
      </c>
      <c r="BQ14" s="105"/>
      <c r="BR14" s="106" t="s">
        <v>162</v>
      </c>
      <c r="BS14" s="135" t="s">
        <v>162</v>
      </c>
      <c r="BT14" s="135" t="s">
        <v>168</v>
      </c>
      <c r="BU14" s="142" t="s">
        <v>169</v>
      </c>
      <c r="BV14" s="138" t="s">
        <v>170</v>
      </c>
      <c r="BW14" s="139"/>
      <c r="CA14" s="120" t="s">
        <v>171</v>
      </c>
      <c r="CB14" s="10"/>
      <c r="CC14" s="18"/>
      <c r="CD14" s="19"/>
      <c r="CE14" s="19"/>
      <c r="CF14" s="154" t="s">
        <v>172</v>
      </c>
      <c r="CG14" s="193"/>
      <c r="CH14" s="193"/>
      <c r="CI14" s="193"/>
      <c r="CJ14" s="128" t="s">
        <v>173</v>
      </c>
      <c r="CK14" s="84"/>
      <c r="CL14" s="76"/>
      <c r="CM14" s="128" t="s">
        <v>174</v>
      </c>
      <c r="CN14" s="84"/>
      <c r="CO14" s="39" t="s">
        <v>175</v>
      </c>
      <c r="CP14" s="192" t="s">
        <v>176</v>
      </c>
      <c r="CQ14" s="192"/>
      <c r="CR14" s="96" t="s">
        <v>177</v>
      </c>
      <c r="CS14" s="107"/>
      <c r="CT14" s="128" t="s">
        <v>178</v>
      </c>
      <c r="CU14" s="84" t="s">
        <v>178</v>
      </c>
      <c r="CV14" s="134" t="s">
        <v>179</v>
      </c>
      <c r="CW14" s="40"/>
      <c r="CX14" s="215" t="s">
        <v>67</v>
      </c>
      <c r="CY14" s="219"/>
      <c r="CZ14" s="244"/>
      <c r="DA14" s="19"/>
      <c r="DB14" s="19"/>
      <c r="DC14" s="206" t="s">
        <v>180</v>
      </c>
      <c r="DD14" s="207"/>
      <c r="DE14" s="191"/>
      <c r="DF14" s="253"/>
      <c r="DG14" s="254" t="s">
        <v>67</v>
      </c>
      <c r="DH14" s="239"/>
      <c r="DI14" s="243"/>
      <c r="DJ14" s="149"/>
      <c r="DK14" s="84" t="s">
        <v>181</v>
      </c>
      <c r="DL14" s="94"/>
      <c r="DM14" s="239"/>
      <c r="DN14" s="240" t="s">
        <v>182</v>
      </c>
      <c r="DO14" s="240"/>
      <c r="DP14" s="241"/>
      <c r="DQ14" s="242" t="s">
        <v>69</v>
      </c>
      <c r="DR14" s="239"/>
      <c r="DS14" s="243"/>
      <c r="DT14" s="5"/>
      <c r="DU14" s="5"/>
      <c r="DV14" s="3" t="s">
        <v>183</v>
      </c>
      <c r="DW14" s="3" t="s">
        <v>183</v>
      </c>
      <c r="DX14" s="3" t="s">
        <v>183</v>
      </c>
      <c r="DY14" s="3" t="s">
        <v>183</v>
      </c>
      <c r="DZ14" s="3" t="s">
        <v>183</v>
      </c>
      <c r="EA14" s="3" t="s">
        <v>183</v>
      </c>
      <c r="EB14" s="3" t="s">
        <v>183</v>
      </c>
      <c r="EC14" s="5"/>
      <c r="ED14" s="5"/>
      <c r="EE14" s="5"/>
    </row>
    <row r="15" spans="1:162" ht="30" customHeight="1" outlineLevel="1" thickTop="1" thickBot="1">
      <c r="A15" s="17" t="s">
        <v>184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34" t="s">
        <v>185</v>
      </c>
      <c r="BG15" s="47" t="s">
        <v>186</v>
      </c>
      <c r="BH15" s="48" t="s">
        <v>186</v>
      </c>
      <c r="BI15" s="30" t="s">
        <v>58</v>
      </c>
      <c r="BJ15" s="47" t="s">
        <v>187</v>
      </c>
      <c r="BK15" s="47" t="s">
        <v>188</v>
      </c>
      <c r="BL15" s="47" t="s">
        <v>189</v>
      </c>
      <c r="BM15" s="83" t="s">
        <v>190</v>
      </c>
      <c r="BN15" s="82" t="s">
        <v>191</v>
      </c>
      <c r="BO15" s="84"/>
      <c r="BP15" s="120"/>
      <c r="BQ15" s="120"/>
      <c r="BR15" s="104"/>
      <c r="BS15" s="121"/>
      <c r="BT15" s="122" t="s">
        <v>192</v>
      </c>
      <c r="BU15" s="91"/>
      <c r="BV15" s="122"/>
      <c r="BW15" s="110"/>
      <c r="BX15" s="114"/>
      <c r="BY15" s="110"/>
      <c r="BZ15" s="110"/>
      <c r="CA15" s="110"/>
      <c r="CB15" s="115"/>
      <c r="CC15" s="19"/>
      <c r="CD15" s="19"/>
      <c r="CE15" s="5"/>
      <c r="CO15" s="10"/>
      <c r="CU15" s="195" t="s">
        <v>193</v>
      </c>
      <c r="CV15" s="224"/>
      <c r="CW15" s="51" t="s">
        <v>58</v>
      </c>
      <c r="CX15" s="84" t="s">
        <v>194</v>
      </c>
      <c r="CY15" s="167"/>
      <c r="CZ15" s="211"/>
      <c r="DA15" s="5"/>
      <c r="DB15" s="5"/>
      <c r="DI15" s="149"/>
      <c r="DJ15" s="245" t="s">
        <v>195</v>
      </c>
      <c r="DK15" s="31" t="s">
        <v>196</v>
      </c>
      <c r="DL15" s="245" t="s">
        <v>195</v>
      </c>
      <c r="DM15" s="31" t="s">
        <v>196</v>
      </c>
      <c r="DN15" s="245" t="s">
        <v>195</v>
      </c>
      <c r="DO15" s="31" t="s">
        <v>45</v>
      </c>
      <c r="DP15" s="185" t="s">
        <v>197</v>
      </c>
      <c r="DQ15" s="185"/>
      <c r="DR15" s="31" t="s">
        <v>45</v>
      </c>
      <c r="DS15" s="31" t="s">
        <v>198</v>
      </c>
      <c r="DT15" s="31" t="s">
        <v>45</v>
      </c>
      <c r="DU15" s="222" t="s">
        <v>198</v>
      </c>
      <c r="DV15" s="149"/>
      <c r="DW15" s="212" t="s">
        <v>199</v>
      </c>
      <c r="DX15" s="212" t="s">
        <v>199</v>
      </c>
      <c r="DY15" s="31" t="s">
        <v>45</v>
      </c>
      <c r="DZ15" s="31" t="s">
        <v>198</v>
      </c>
      <c r="EA15" s="31" t="s">
        <v>45</v>
      </c>
      <c r="EB15" s="222" t="s">
        <v>198</v>
      </c>
      <c r="EC15" s="5"/>
      <c r="ED15" s="5"/>
      <c r="EE15" s="5"/>
      <c r="EF15" s="113"/>
      <c r="EG15" s="188" t="s">
        <v>200</v>
      </c>
      <c r="EH15" s="188" t="s">
        <v>200</v>
      </c>
      <c r="EI15" s="188" t="s">
        <v>200</v>
      </c>
      <c r="EJ15" s="188" t="s">
        <v>200</v>
      </c>
      <c r="EK15" s="188" t="s">
        <v>200</v>
      </c>
      <c r="EL15" s="188" t="s">
        <v>200</v>
      </c>
      <c r="EM15" s="114"/>
      <c r="EN15" s="114"/>
      <c r="EO15" s="114"/>
      <c r="EP15" s="115"/>
      <c r="EQ15" s="113"/>
      <c r="ER15" s="114" t="s">
        <v>201</v>
      </c>
      <c r="ES15" s="114" t="s">
        <v>201</v>
      </c>
      <c r="ET15" s="114" t="s">
        <v>201</v>
      </c>
      <c r="EU15" s="114" t="s">
        <v>201</v>
      </c>
      <c r="EV15" s="114"/>
      <c r="EW15" s="114"/>
      <c r="EX15" s="114"/>
      <c r="EY15" s="115"/>
    </row>
    <row r="16" spans="1:162" ht="30" customHeight="1" outlineLevel="1" thickBot="1">
      <c r="A16" s="17" t="s">
        <v>202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1" t="s">
        <v>203</v>
      </c>
      <c r="BA16" s="10"/>
      <c r="BB16" s="10"/>
      <c r="BC16" s="10"/>
      <c r="BD16" s="34" t="s">
        <v>204</v>
      </c>
      <c r="BE16" s="35" t="s">
        <v>126</v>
      </c>
      <c r="BF16" s="36" t="s">
        <v>126</v>
      </c>
      <c r="BG16" s="20"/>
      <c r="BH16" s="20"/>
      <c r="BN16" s="92" t="s">
        <v>205</v>
      </c>
      <c r="BO16" s="33" t="s">
        <v>205</v>
      </c>
      <c r="BP16" s="119" t="s">
        <v>206</v>
      </c>
      <c r="BQ16" s="111" t="s">
        <v>206</v>
      </c>
      <c r="BT16" s="39" t="s">
        <v>207</v>
      </c>
      <c r="BU16" s="33" t="s">
        <v>208</v>
      </c>
      <c r="BV16" s="40" t="s">
        <v>83</v>
      </c>
      <c r="BW16" s="22"/>
      <c r="BX16" s="22"/>
      <c r="BY16" s="20"/>
      <c r="BZ16" s="10"/>
      <c r="CA16" s="150"/>
      <c r="CB16" s="151"/>
      <c r="CC16" s="19"/>
      <c r="CD16" s="19"/>
      <c r="CE16" s="19"/>
      <c r="CF16" s="194" t="s">
        <v>209</v>
      </c>
      <c r="CG16" s="40"/>
      <c r="CI16" s="30" t="s">
        <v>58</v>
      </c>
      <c r="CJ16" s="133" t="s">
        <v>210</v>
      </c>
      <c r="CK16" s="133" t="s">
        <v>210</v>
      </c>
      <c r="CL16" s="133" t="s">
        <v>210</v>
      </c>
      <c r="CM16" s="133" t="s">
        <v>210</v>
      </c>
      <c r="CN16" s="31" t="s">
        <v>45</v>
      </c>
      <c r="CO16" s="73"/>
      <c r="CP16" s="74"/>
      <c r="CQ16" s="74"/>
      <c r="CR16" s="74"/>
      <c r="CS16" s="74"/>
      <c r="CT16" s="225"/>
      <c r="CU16" s="226" t="s">
        <v>211</v>
      </c>
      <c r="CV16" s="223"/>
      <c r="CW16" s="220" t="s">
        <v>58</v>
      </c>
      <c r="CX16" s="209" t="s">
        <v>210</v>
      </c>
      <c r="CY16" s="209" t="s">
        <v>210</v>
      </c>
      <c r="CZ16" s="210" t="s">
        <v>45</v>
      </c>
      <c r="DA16" s="19"/>
      <c r="DB16" s="19"/>
      <c r="DC16" s="19"/>
      <c r="DD16" s="203" t="s">
        <v>212</v>
      </c>
      <c r="DE16" s="10" t="s">
        <v>213</v>
      </c>
      <c r="DF16" s="10"/>
      <c r="DG16" s="10"/>
      <c r="DH16" s="10"/>
      <c r="DI16" s="10"/>
      <c r="DL16" s="10"/>
      <c r="DN16" s="3" t="s">
        <v>214</v>
      </c>
      <c r="DT16" s="5"/>
      <c r="DU16" s="5"/>
      <c r="EC16" s="5"/>
      <c r="ED16" s="5"/>
      <c r="EE16" s="5"/>
    </row>
    <row r="17" spans="1:144" ht="30" customHeight="1" outlineLevel="1" thickBot="1">
      <c r="A17" s="17" t="s">
        <v>215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1" t="s">
        <v>58</v>
      </c>
      <c r="AZ17" s="14" t="s">
        <v>216</v>
      </c>
      <c r="BA17" s="10"/>
      <c r="BB17" s="10"/>
      <c r="BC17" s="10"/>
      <c r="BD17" s="30" t="s">
        <v>45</v>
      </c>
      <c r="BE17" s="33" t="s">
        <v>217</v>
      </c>
      <c r="BF17" s="31" t="s">
        <v>218</v>
      </c>
      <c r="BG17" s="45" t="s">
        <v>219</v>
      </c>
      <c r="BH17" s="45" t="s">
        <v>219</v>
      </c>
      <c r="BI17" s="37" t="s">
        <v>45</v>
      </c>
      <c r="BJ17" s="45" t="s">
        <v>219</v>
      </c>
      <c r="BK17" s="29" t="s">
        <v>45</v>
      </c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97" t="s">
        <v>58</v>
      </c>
      <c r="BX17" s="41" t="s">
        <v>220</v>
      </c>
      <c r="BY17" s="130" t="s">
        <v>221</v>
      </c>
      <c r="BZ17" s="131" t="s">
        <v>45</v>
      </c>
      <c r="CA17" s="132" t="s">
        <v>45</v>
      </c>
      <c r="CC17" s="18"/>
      <c r="CD17" s="19"/>
      <c r="CE17" s="19"/>
      <c r="CF17" s="60"/>
      <c r="CG17" s="61"/>
      <c r="CH17" s="60"/>
      <c r="CI17" s="10"/>
      <c r="CJ17" s="10"/>
      <c r="CK17" s="112"/>
      <c r="CN17" s="10"/>
      <c r="CO17" s="10"/>
      <c r="CP17" s="10"/>
      <c r="CQ17" s="10"/>
      <c r="CT17" s="10"/>
      <c r="CU17" s="10"/>
      <c r="CV17" s="10"/>
      <c r="CW17" s="10"/>
      <c r="CX17" s="10"/>
      <c r="CY17" s="10"/>
      <c r="CZ17" s="10"/>
      <c r="DA17" s="19"/>
      <c r="DB17" s="19"/>
      <c r="DC17" s="10"/>
      <c r="DD17" s="10"/>
      <c r="DE17" s="10"/>
      <c r="DF17" s="10"/>
      <c r="DG17" s="10"/>
      <c r="DH17" s="10"/>
      <c r="DI17" s="10"/>
      <c r="DP17" s="60"/>
      <c r="DQ17" s="61"/>
      <c r="DR17" s="61"/>
      <c r="DS17" s="10"/>
      <c r="DT17" s="19"/>
      <c r="DU17" s="143"/>
      <c r="EC17" s="5"/>
      <c r="ED17" s="5"/>
      <c r="EE17" s="5"/>
    </row>
    <row r="18" spans="1:144" ht="30" customHeight="1" outlineLevel="1" thickBot="1">
      <c r="A18" s="17" t="s">
        <v>222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72" t="s">
        <v>58</v>
      </c>
      <c r="BN18" s="77" t="s">
        <v>223</v>
      </c>
      <c r="BO18" s="77" t="s">
        <v>224</v>
      </c>
      <c r="BP18" s="10"/>
      <c r="BV18" s="10"/>
      <c r="BY18" s="113" t="s">
        <v>225</v>
      </c>
      <c r="BZ18" s="114"/>
      <c r="CA18" s="76" t="s">
        <v>226</v>
      </c>
      <c r="CB18" s="32"/>
      <c r="CC18" s="19"/>
      <c r="CD18" s="19"/>
      <c r="CE18" s="5"/>
      <c r="CF18" s="149" t="s">
        <v>58</v>
      </c>
      <c r="CG18" s="101" t="s">
        <v>227</v>
      </c>
      <c r="CH18" s="152" t="s">
        <v>228</v>
      </c>
      <c r="CI18" s="152" t="s">
        <v>229</v>
      </c>
      <c r="CJ18" s="76"/>
      <c r="CK18" s="101"/>
      <c r="CL18" s="140" t="s">
        <v>64</v>
      </c>
      <c r="CM18" s="166" t="s">
        <v>230</v>
      </c>
      <c r="CN18" s="123" t="s">
        <v>45</v>
      </c>
      <c r="CO18" s="84"/>
      <c r="CP18" s="101" t="s">
        <v>231</v>
      </c>
      <c r="CQ18" s="167" t="s">
        <v>64</v>
      </c>
      <c r="CR18" s="39"/>
      <c r="CS18" s="230" t="s">
        <v>232</v>
      </c>
      <c r="CT18" s="84" t="s">
        <v>232</v>
      </c>
      <c r="CU18" s="84" t="s">
        <v>233</v>
      </c>
      <c r="CV18" s="84"/>
      <c r="CW18" s="167"/>
      <c r="DA18" s="5"/>
      <c r="DB18" s="217"/>
      <c r="DG18" s="175"/>
      <c r="DK18" s="3" t="s">
        <v>234</v>
      </c>
      <c r="DT18" s="5"/>
      <c r="DU18" s="5"/>
      <c r="EC18" s="5"/>
      <c r="ED18" s="5"/>
      <c r="EE18" s="5"/>
      <c r="EN18" s="3" t="s">
        <v>235</v>
      </c>
    </row>
    <row r="19" spans="1:144" s="174" customFormat="1" ht="63" customHeight="1">
      <c r="A19" s="173" t="s">
        <v>236</v>
      </c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5"/>
      <c r="AM19" s="175"/>
      <c r="AN19" s="175"/>
      <c r="AO19" s="175"/>
      <c r="AP19" s="175"/>
      <c r="AQ19" s="175"/>
      <c r="AR19" s="175"/>
      <c r="AS19" s="175"/>
      <c r="AT19" s="175"/>
      <c r="AU19" s="175"/>
      <c r="AV19" s="175"/>
      <c r="AW19" s="175"/>
      <c r="AX19" s="175"/>
      <c r="AY19" s="175"/>
      <c r="AZ19" s="175"/>
      <c r="BA19" s="175"/>
      <c r="BB19" s="175"/>
      <c r="BC19" s="175"/>
      <c r="BD19" s="175"/>
      <c r="BE19" s="175"/>
      <c r="BF19" s="175"/>
      <c r="BG19" s="175"/>
      <c r="BH19" s="175"/>
      <c r="BI19" s="175"/>
      <c r="BJ19" s="176"/>
      <c r="BK19" s="175"/>
      <c r="BL19" s="175"/>
      <c r="BM19" s="175"/>
      <c r="BN19" s="175"/>
      <c r="BO19" s="175"/>
      <c r="BS19" s="175"/>
      <c r="BT19" s="175"/>
      <c r="BU19" s="175"/>
      <c r="BV19" s="177"/>
      <c r="BW19" s="178"/>
      <c r="BX19" s="175"/>
      <c r="BY19" s="175"/>
      <c r="BZ19" s="175"/>
      <c r="CA19" s="175"/>
      <c r="CB19" s="175"/>
      <c r="CC19" s="179"/>
      <c r="CD19" s="179"/>
      <c r="CE19" s="180"/>
      <c r="CF19" s="181"/>
      <c r="CG19" s="178"/>
      <c r="CH19" s="181"/>
      <c r="CI19" s="175"/>
      <c r="CK19" s="175"/>
      <c r="CO19" s="227"/>
      <c r="CP19" s="175"/>
      <c r="CQ19" s="175"/>
      <c r="CR19" s="175"/>
      <c r="CS19" s="175"/>
      <c r="CU19" s="175"/>
      <c r="CV19" s="175"/>
      <c r="CW19" s="175"/>
      <c r="CX19" s="175"/>
      <c r="CY19" s="175"/>
      <c r="CZ19" s="175"/>
      <c r="DA19" s="180"/>
      <c r="DB19" s="180"/>
      <c r="DC19" s="175"/>
      <c r="DD19" s="175"/>
      <c r="DE19" s="175"/>
      <c r="DF19" s="175"/>
      <c r="DG19" s="175"/>
      <c r="DI19" s="175"/>
      <c r="DT19" s="179"/>
      <c r="DU19" s="179"/>
      <c r="EC19" s="179"/>
      <c r="ED19" s="179"/>
      <c r="EE19" s="179"/>
    </row>
    <row r="20" spans="1:144" s="156" customFormat="1" ht="63" customHeight="1" thickBot="1">
      <c r="A20" s="155" t="s">
        <v>237</v>
      </c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  <c r="BI20" s="157"/>
      <c r="BJ20" s="158" t="s">
        <v>238</v>
      </c>
      <c r="BK20" s="157"/>
      <c r="BL20" s="157"/>
      <c r="BM20" s="157"/>
      <c r="BN20" s="157" t="s">
        <v>239</v>
      </c>
      <c r="BO20" s="157" t="s">
        <v>240</v>
      </c>
      <c r="BS20" s="157"/>
      <c r="BT20" s="157"/>
      <c r="BU20" s="157" t="s">
        <v>241</v>
      </c>
      <c r="BV20" s="159" t="s">
        <v>242</v>
      </c>
      <c r="BW20" s="160" t="s">
        <v>243</v>
      </c>
      <c r="BX20" s="157"/>
      <c r="BY20" s="157" t="s">
        <v>28</v>
      </c>
      <c r="BZ20" s="157"/>
      <c r="CA20" s="157"/>
      <c r="CB20" s="161"/>
      <c r="CC20" s="162"/>
      <c r="CD20" s="162"/>
      <c r="CE20" s="184" t="s">
        <v>244</v>
      </c>
      <c r="CF20" s="164" t="s">
        <v>245</v>
      </c>
      <c r="CG20" s="160" t="s">
        <v>246</v>
      </c>
      <c r="CH20" s="164" t="s">
        <v>247</v>
      </c>
      <c r="CI20" s="157" t="s">
        <v>248</v>
      </c>
      <c r="CK20" s="157" t="s">
        <v>249</v>
      </c>
      <c r="CO20" s="228"/>
      <c r="CP20" s="157"/>
      <c r="CQ20" s="157"/>
      <c r="CR20" s="157"/>
      <c r="CS20" s="157"/>
      <c r="CU20" s="157"/>
      <c r="CV20" s="157"/>
      <c r="CW20" s="157"/>
      <c r="CX20" s="157"/>
      <c r="CY20" s="157"/>
      <c r="CZ20" s="157"/>
      <c r="DA20" s="163"/>
      <c r="DB20" s="163"/>
      <c r="DC20" s="157"/>
      <c r="DD20" s="157" t="s">
        <v>250</v>
      </c>
      <c r="DE20" s="157"/>
      <c r="DF20" s="157"/>
      <c r="DG20" s="157"/>
      <c r="DH20" s="157"/>
      <c r="DI20" s="157"/>
      <c r="DT20" s="162"/>
      <c r="DU20" s="162"/>
      <c r="EC20" s="162"/>
      <c r="ED20" s="162"/>
      <c r="EE20" s="162"/>
    </row>
    <row r="21" spans="1:144" s="5" customFormat="1" ht="30" customHeight="1" thickTop="1">
      <c r="A21" s="4" t="s">
        <v>251</v>
      </c>
      <c r="B21" s="5">
        <f t="shared" ref="B21:BM21" si="35">COUNTA(B23:B35)</f>
        <v>0</v>
      </c>
      <c r="C21" s="5">
        <f t="shared" si="35"/>
        <v>0</v>
      </c>
      <c r="D21" s="5">
        <f t="shared" si="35"/>
        <v>0</v>
      </c>
      <c r="E21" s="5">
        <f t="shared" si="35"/>
        <v>0</v>
      </c>
      <c r="F21" s="5">
        <f t="shared" si="35"/>
        <v>0</v>
      </c>
      <c r="G21" s="5">
        <f t="shared" si="35"/>
        <v>0</v>
      </c>
      <c r="H21" s="5">
        <f t="shared" si="35"/>
        <v>0</v>
      </c>
      <c r="I21" s="5">
        <f t="shared" si="35"/>
        <v>0</v>
      </c>
      <c r="J21" s="5">
        <f t="shared" si="35"/>
        <v>0</v>
      </c>
      <c r="K21" s="5">
        <f t="shared" si="35"/>
        <v>0</v>
      </c>
      <c r="L21" s="5">
        <f t="shared" si="35"/>
        <v>0</v>
      </c>
      <c r="M21" s="5">
        <f t="shared" si="35"/>
        <v>0</v>
      </c>
      <c r="N21" s="5">
        <f t="shared" si="35"/>
        <v>0</v>
      </c>
      <c r="O21" s="5">
        <f t="shared" si="35"/>
        <v>0</v>
      </c>
      <c r="P21" s="5">
        <f t="shared" si="35"/>
        <v>0</v>
      </c>
      <c r="Q21" s="5">
        <f t="shared" si="35"/>
        <v>0</v>
      </c>
      <c r="R21" s="5">
        <f t="shared" si="35"/>
        <v>0</v>
      </c>
      <c r="S21" s="5">
        <f t="shared" si="35"/>
        <v>0</v>
      </c>
      <c r="T21" s="5">
        <f t="shared" si="35"/>
        <v>0</v>
      </c>
      <c r="U21" s="5">
        <f t="shared" si="35"/>
        <v>0</v>
      </c>
      <c r="V21" s="5">
        <f t="shared" si="35"/>
        <v>0</v>
      </c>
      <c r="W21" s="5">
        <f t="shared" si="35"/>
        <v>0</v>
      </c>
      <c r="X21" s="5">
        <f t="shared" si="35"/>
        <v>0</v>
      </c>
      <c r="Y21" s="5">
        <f t="shared" si="35"/>
        <v>0</v>
      </c>
      <c r="Z21" s="5">
        <f t="shared" si="35"/>
        <v>0</v>
      </c>
      <c r="AA21" s="5">
        <f t="shared" si="35"/>
        <v>0</v>
      </c>
      <c r="AB21" s="5">
        <f t="shared" si="35"/>
        <v>0</v>
      </c>
      <c r="AC21" s="5">
        <f t="shared" si="35"/>
        <v>0</v>
      </c>
      <c r="AD21" s="5">
        <f t="shared" si="35"/>
        <v>0</v>
      </c>
      <c r="AE21" s="5">
        <f t="shared" si="35"/>
        <v>0</v>
      </c>
      <c r="AF21" s="5">
        <f t="shared" si="35"/>
        <v>0</v>
      </c>
      <c r="AG21" s="5">
        <f t="shared" si="35"/>
        <v>0</v>
      </c>
      <c r="AH21" s="5">
        <f t="shared" si="35"/>
        <v>0</v>
      </c>
      <c r="AI21" s="5">
        <f t="shared" si="35"/>
        <v>0</v>
      </c>
      <c r="AJ21" s="5">
        <f t="shared" si="35"/>
        <v>0</v>
      </c>
      <c r="AK21" s="5">
        <f t="shared" si="35"/>
        <v>0</v>
      </c>
      <c r="AL21" s="5">
        <f t="shared" si="35"/>
        <v>0</v>
      </c>
      <c r="AM21" s="5">
        <f t="shared" si="35"/>
        <v>0</v>
      </c>
      <c r="AN21" s="5">
        <f t="shared" si="35"/>
        <v>0</v>
      </c>
      <c r="AO21" s="5">
        <f t="shared" si="35"/>
        <v>0</v>
      </c>
      <c r="AP21" s="5">
        <f t="shared" si="35"/>
        <v>0</v>
      </c>
      <c r="AQ21" s="5">
        <f t="shared" si="35"/>
        <v>0</v>
      </c>
      <c r="AR21" s="5">
        <f t="shared" si="35"/>
        <v>0</v>
      </c>
      <c r="AS21" s="5">
        <f t="shared" si="35"/>
        <v>0</v>
      </c>
      <c r="AT21" s="5">
        <f t="shared" si="35"/>
        <v>0</v>
      </c>
      <c r="AU21" s="5">
        <f t="shared" si="35"/>
        <v>0</v>
      </c>
      <c r="AV21" s="5">
        <f t="shared" si="35"/>
        <v>0</v>
      </c>
      <c r="AW21" s="5">
        <f t="shared" si="35"/>
        <v>0</v>
      </c>
      <c r="AX21" s="5">
        <f t="shared" si="35"/>
        <v>0</v>
      </c>
      <c r="AY21" s="5">
        <f t="shared" si="35"/>
        <v>0</v>
      </c>
      <c r="AZ21" s="5">
        <f t="shared" si="35"/>
        <v>0</v>
      </c>
      <c r="BA21" s="5">
        <f t="shared" si="35"/>
        <v>0</v>
      </c>
      <c r="BB21" s="5">
        <f t="shared" si="35"/>
        <v>0</v>
      </c>
      <c r="BC21" s="5">
        <f t="shared" si="35"/>
        <v>3</v>
      </c>
      <c r="BD21" s="5">
        <f t="shared" si="35"/>
        <v>4</v>
      </c>
      <c r="BE21" s="5">
        <f t="shared" si="35"/>
        <v>6</v>
      </c>
      <c r="BF21" s="5">
        <f t="shared" si="35"/>
        <v>6</v>
      </c>
      <c r="BG21" s="5">
        <f t="shared" si="35"/>
        <v>6</v>
      </c>
      <c r="BH21" s="5">
        <f t="shared" si="35"/>
        <v>6</v>
      </c>
      <c r="BI21" s="5">
        <f t="shared" si="35"/>
        <v>5</v>
      </c>
      <c r="BJ21" s="5">
        <f t="shared" si="35"/>
        <v>4</v>
      </c>
      <c r="BK21" s="5">
        <f t="shared" si="35"/>
        <v>4</v>
      </c>
      <c r="BL21" s="5">
        <f t="shared" si="35"/>
        <v>4</v>
      </c>
      <c r="BM21" s="5">
        <f t="shared" si="35"/>
        <v>4</v>
      </c>
      <c r="BN21" s="5">
        <f t="shared" ref="BN21:BO21" si="36">COUNTA(BN23:BN35)</f>
        <v>3</v>
      </c>
      <c r="BO21" s="5">
        <f t="shared" si="36"/>
        <v>4</v>
      </c>
      <c r="BP21" s="5">
        <f>COUNTA(BP23:BP35)</f>
        <v>3</v>
      </c>
      <c r="BQ21" s="5">
        <f>COUNTA(BQ23:BQ35)</f>
        <v>3</v>
      </c>
      <c r="BR21" s="5">
        <f>COUNTA(BR23:BR35)</f>
        <v>4</v>
      </c>
      <c r="BS21" s="5">
        <f t="shared" ref="BS21:DM21" si="37">COUNTA(BS23:BS35)</f>
        <v>2</v>
      </c>
      <c r="BT21" s="5">
        <f t="shared" si="37"/>
        <v>3</v>
      </c>
      <c r="BU21" s="5">
        <f t="shared" si="37"/>
        <v>3</v>
      </c>
      <c r="BV21" s="5">
        <f t="shared" si="37"/>
        <v>4</v>
      </c>
      <c r="BW21" s="5">
        <f t="shared" si="37"/>
        <v>3</v>
      </c>
      <c r="BX21" s="5">
        <f t="shared" si="37"/>
        <v>4</v>
      </c>
      <c r="BY21" s="5">
        <f t="shared" si="37"/>
        <v>5</v>
      </c>
      <c r="BZ21" s="5">
        <f t="shared" si="37"/>
        <v>5</v>
      </c>
      <c r="CA21" s="5">
        <f t="shared" si="37"/>
        <v>5</v>
      </c>
      <c r="CB21" s="5">
        <f t="shared" si="37"/>
        <v>6</v>
      </c>
      <c r="CC21" s="5">
        <f t="shared" si="37"/>
        <v>5</v>
      </c>
      <c r="CD21" s="5">
        <f t="shared" si="37"/>
        <v>5</v>
      </c>
      <c r="CE21" s="5">
        <f t="shared" si="37"/>
        <v>4</v>
      </c>
      <c r="CF21" s="5">
        <f t="shared" si="37"/>
        <v>6</v>
      </c>
      <c r="CG21" s="5">
        <f t="shared" si="37"/>
        <v>7</v>
      </c>
      <c r="CH21" s="5">
        <f t="shared" si="37"/>
        <v>7</v>
      </c>
      <c r="CI21" s="5">
        <f t="shared" si="37"/>
        <v>7</v>
      </c>
      <c r="CJ21" s="5">
        <f t="shared" si="37"/>
        <v>7</v>
      </c>
      <c r="CK21" s="5">
        <f t="shared" si="37"/>
        <v>9</v>
      </c>
      <c r="CL21" s="5">
        <f t="shared" si="37"/>
        <v>9</v>
      </c>
      <c r="CM21" s="5">
        <f t="shared" si="37"/>
        <v>9</v>
      </c>
      <c r="CN21" s="5">
        <f t="shared" si="37"/>
        <v>9</v>
      </c>
      <c r="CO21" s="5">
        <f t="shared" si="37"/>
        <v>9</v>
      </c>
      <c r="CP21" s="5">
        <f t="shared" si="37"/>
        <v>9</v>
      </c>
      <c r="CQ21" s="5">
        <f t="shared" si="37"/>
        <v>9</v>
      </c>
      <c r="CR21" s="5">
        <f t="shared" si="37"/>
        <v>9</v>
      </c>
      <c r="CS21" s="5">
        <f t="shared" si="37"/>
        <v>9</v>
      </c>
      <c r="CT21" s="5">
        <f t="shared" si="37"/>
        <v>9</v>
      </c>
      <c r="CU21" s="5">
        <f t="shared" si="37"/>
        <v>9</v>
      </c>
      <c r="CV21" s="5">
        <f t="shared" si="37"/>
        <v>9</v>
      </c>
      <c r="CW21" s="5">
        <f t="shared" si="37"/>
        <v>9</v>
      </c>
      <c r="CX21" s="5">
        <f t="shared" si="37"/>
        <v>9</v>
      </c>
      <c r="CY21" s="5">
        <f t="shared" si="37"/>
        <v>9</v>
      </c>
      <c r="CZ21" s="5">
        <f t="shared" si="37"/>
        <v>0</v>
      </c>
      <c r="DA21" s="5">
        <f t="shared" si="37"/>
        <v>0</v>
      </c>
      <c r="DB21" s="5">
        <f t="shared" si="37"/>
        <v>0</v>
      </c>
      <c r="DC21" s="5">
        <f t="shared" si="37"/>
        <v>0</v>
      </c>
      <c r="DD21" s="5">
        <f t="shared" si="37"/>
        <v>0</v>
      </c>
      <c r="DE21" s="5">
        <f t="shared" si="37"/>
        <v>0</v>
      </c>
      <c r="DF21" s="5">
        <f t="shared" si="37"/>
        <v>0</v>
      </c>
      <c r="DG21" s="5">
        <f t="shared" si="37"/>
        <v>0</v>
      </c>
      <c r="DH21" s="5">
        <f t="shared" si="37"/>
        <v>0</v>
      </c>
      <c r="DI21" s="5">
        <f t="shared" si="37"/>
        <v>0</v>
      </c>
      <c r="DJ21" s="5">
        <f t="shared" si="37"/>
        <v>0</v>
      </c>
      <c r="DK21" s="5">
        <f t="shared" si="37"/>
        <v>0</v>
      </c>
      <c r="DL21" s="5">
        <f t="shared" si="37"/>
        <v>0</v>
      </c>
      <c r="DM21" s="5">
        <f t="shared" si="37"/>
        <v>0</v>
      </c>
    </row>
    <row r="22" spans="1:144" s="5" customFormat="1" ht="30" customHeight="1">
      <c r="A22" s="4"/>
    </row>
    <row r="23" spans="1:144" ht="30" customHeight="1" outlineLevel="1">
      <c r="A23" s="2" t="s">
        <v>252</v>
      </c>
      <c r="BC23" s="3" t="s">
        <v>253</v>
      </c>
      <c r="BD23" s="3" t="s">
        <v>253</v>
      </c>
      <c r="BE23" s="3" t="s">
        <v>253</v>
      </c>
      <c r="BF23" s="3" t="s">
        <v>253</v>
      </c>
      <c r="BG23" s="3" t="s">
        <v>253</v>
      </c>
      <c r="BH23" s="3" t="s">
        <v>253</v>
      </c>
      <c r="BI23" s="3" t="s">
        <v>253</v>
      </c>
      <c r="BJ23" s="3" t="s">
        <v>253</v>
      </c>
      <c r="BK23" s="3" t="s">
        <v>253</v>
      </c>
      <c r="BL23" s="3" t="s">
        <v>253</v>
      </c>
      <c r="BM23" s="3" t="s">
        <v>253</v>
      </c>
      <c r="BO23" s="3" t="s">
        <v>254</v>
      </c>
      <c r="BP23" s="3" t="s">
        <v>254</v>
      </c>
      <c r="BQ23" s="3" t="s">
        <v>254</v>
      </c>
      <c r="BR23" s="3" t="s">
        <v>254</v>
      </c>
      <c r="BS23" s="43"/>
      <c r="BT23" s="43"/>
      <c r="BU23" s="43"/>
      <c r="BV23" s="43"/>
      <c r="BY23" s="3" t="s">
        <v>253</v>
      </c>
      <c r="BZ23" s="3" t="s">
        <v>253</v>
      </c>
      <c r="CA23" s="3" t="s">
        <v>253</v>
      </c>
      <c r="CB23" s="3" t="s">
        <v>253</v>
      </c>
      <c r="CC23" s="3" t="s">
        <v>253</v>
      </c>
      <c r="CD23" s="3" t="s">
        <v>253</v>
      </c>
      <c r="CE23" s="3" t="s">
        <v>253</v>
      </c>
      <c r="CF23" s="3" t="s">
        <v>255</v>
      </c>
      <c r="CG23" s="3" t="s">
        <v>255</v>
      </c>
      <c r="CH23" s="3" t="s">
        <v>255</v>
      </c>
      <c r="CI23" s="3" t="s">
        <v>255</v>
      </c>
      <c r="CJ23" s="3" t="s">
        <v>255</v>
      </c>
      <c r="CK23" s="3" t="s">
        <v>255</v>
      </c>
      <c r="CL23" s="3" t="s">
        <v>255</v>
      </c>
      <c r="CM23" s="3" t="s">
        <v>255</v>
      </c>
      <c r="CN23" s="3" t="s">
        <v>255</v>
      </c>
      <c r="CO23" s="3" t="s">
        <v>255</v>
      </c>
      <c r="CP23" s="3" t="s">
        <v>255</v>
      </c>
      <c r="CQ23" s="3" t="s">
        <v>255</v>
      </c>
      <c r="CR23" s="3" t="s">
        <v>255</v>
      </c>
      <c r="CS23" s="3" t="s">
        <v>255</v>
      </c>
      <c r="CT23" s="3" t="s">
        <v>255</v>
      </c>
      <c r="CU23" s="3" t="s">
        <v>255</v>
      </c>
      <c r="CV23" s="3" t="s">
        <v>255</v>
      </c>
      <c r="CW23" s="3" t="s">
        <v>255</v>
      </c>
      <c r="CX23" s="3" t="s">
        <v>255</v>
      </c>
      <c r="CY23" s="3" t="s">
        <v>255</v>
      </c>
      <c r="DO23"/>
    </row>
    <row r="24" spans="1:144" ht="30" customHeight="1" outlineLevel="1">
      <c r="A24" s="2" t="s">
        <v>256</v>
      </c>
      <c r="BC24" s="3" t="s">
        <v>257</v>
      </c>
      <c r="BD24" s="3" t="s">
        <v>257</v>
      </c>
      <c r="BE24" s="3" t="s">
        <v>258</v>
      </c>
      <c r="BF24" s="3" t="s">
        <v>258</v>
      </c>
      <c r="BG24" s="3" t="s">
        <v>258</v>
      </c>
      <c r="BH24" s="3" t="s">
        <v>258</v>
      </c>
      <c r="BI24" s="3" t="s">
        <v>258</v>
      </c>
      <c r="BR24" s="3" t="s">
        <v>259</v>
      </c>
      <c r="BS24" s="3" t="s">
        <v>260</v>
      </c>
      <c r="BT24" s="3" t="s">
        <v>260</v>
      </c>
      <c r="BU24" s="3" t="s">
        <v>260</v>
      </c>
      <c r="BV24" s="3" t="s">
        <v>259</v>
      </c>
      <c r="BW24" s="3" t="s">
        <v>259</v>
      </c>
      <c r="BX24" s="3" t="s">
        <v>259</v>
      </c>
      <c r="BY24" s="3" t="s">
        <v>259</v>
      </c>
      <c r="BZ24" s="3" t="s">
        <v>259</v>
      </c>
      <c r="CA24" s="3" t="s">
        <v>259</v>
      </c>
      <c r="CB24" s="3" t="s">
        <v>259</v>
      </c>
      <c r="CC24" s="3" t="s">
        <v>261</v>
      </c>
      <c r="CD24" s="3" t="s">
        <v>261</v>
      </c>
      <c r="CE24" s="3" t="s">
        <v>261</v>
      </c>
      <c r="CF24" s="3" t="s">
        <v>261</v>
      </c>
      <c r="CG24" s="3" t="s">
        <v>261</v>
      </c>
      <c r="CH24" s="3" t="s">
        <v>261</v>
      </c>
      <c r="CI24" s="3" t="s">
        <v>261</v>
      </c>
      <c r="CJ24" s="3" t="s">
        <v>262</v>
      </c>
      <c r="CK24" s="3" t="s">
        <v>262</v>
      </c>
      <c r="CL24" s="3" t="s">
        <v>263</v>
      </c>
      <c r="CM24" s="3" t="s">
        <v>263</v>
      </c>
      <c r="CN24" s="3" t="s">
        <v>263</v>
      </c>
      <c r="CO24" s="3" t="s">
        <v>264</v>
      </c>
      <c r="CP24" s="3" t="s">
        <v>264</v>
      </c>
      <c r="CQ24" s="3" t="s">
        <v>264</v>
      </c>
      <c r="CR24" s="3" t="s">
        <v>264</v>
      </c>
      <c r="CS24" s="3" t="s">
        <v>264</v>
      </c>
      <c r="CT24" s="3" t="s">
        <v>263</v>
      </c>
      <c r="CU24" s="3" t="s">
        <v>265</v>
      </c>
      <c r="CV24" s="3" t="s">
        <v>265</v>
      </c>
      <c r="CW24" s="3" t="s">
        <v>265</v>
      </c>
      <c r="CX24" s="3" t="s">
        <v>265</v>
      </c>
      <c r="CY24" s="3" t="s">
        <v>265</v>
      </c>
      <c r="DI24" s="218"/>
      <c r="DO24"/>
    </row>
    <row r="25" spans="1:144" ht="30" customHeight="1" outlineLevel="1">
      <c r="A25" s="2" t="s">
        <v>266</v>
      </c>
      <c r="BE25" s="3" t="s">
        <v>267</v>
      </c>
      <c r="BF25" s="3" t="s">
        <v>267</v>
      </c>
      <c r="BG25" s="3" t="s">
        <v>267</v>
      </c>
      <c r="BH25" s="3" t="s">
        <v>267</v>
      </c>
      <c r="BI25" s="3" t="s">
        <v>267</v>
      </c>
      <c r="BJ25" s="3" t="s">
        <v>267</v>
      </c>
      <c r="BK25" s="3" t="s">
        <v>267</v>
      </c>
      <c r="BL25" s="3" t="s">
        <v>267</v>
      </c>
      <c r="BM25" s="3" t="s">
        <v>267</v>
      </c>
      <c r="BN25" s="3" t="s">
        <v>267</v>
      </c>
      <c r="BO25" s="3" t="s">
        <v>267</v>
      </c>
      <c r="BP25" s="3" t="s">
        <v>267</v>
      </c>
      <c r="BQ25" s="3" t="s">
        <v>267</v>
      </c>
      <c r="BR25" s="3" t="s">
        <v>267</v>
      </c>
      <c r="BV25" s="3" t="s">
        <v>268</v>
      </c>
      <c r="BW25" s="5"/>
      <c r="BX25" s="5"/>
      <c r="BY25" s="5"/>
      <c r="BZ25" s="5"/>
      <c r="CA25" s="5"/>
      <c r="CB25" s="3" t="s">
        <v>267</v>
      </c>
      <c r="CC25" s="3" t="s">
        <v>267</v>
      </c>
      <c r="CD25" s="3" t="s">
        <v>267</v>
      </c>
      <c r="CE25" s="3" t="s">
        <v>267</v>
      </c>
      <c r="CF25" s="3" t="s">
        <v>267</v>
      </c>
      <c r="CG25" s="3" t="s">
        <v>267</v>
      </c>
      <c r="CH25" s="3" t="s">
        <v>267</v>
      </c>
      <c r="CI25" s="3" t="s">
        <v>267</v>
      </c>
      <c r="CJ25" s="3" t="s">
        <v>267</v>
      </c>
      <c r="CK25" s="3" t="s">
        <v>267</v>
      </c>
      <c r="CL25" s="3" t="s">
        <v>267</v>
      </c>
      <c r="CM25" s="3" t="s">
        <v>267</v>
      </c>
      <c r="CN25" s="3" t="s">
        <v>267</v>
      </c>
      <c r="CO25" s="3" t="s">
        <v>267</v>
      </c>
      <c r="CP25" s="3" t="s">
        <v>267</v>
      </c>
      <c r="CQ25" s="3" t="s">
        <v>267</v>
      </c>
      <c r="CR25" s="3" t="s">
        <v>267</v>
      </c>
      <c r="CS25" s="3" t="s">
        <v>267</v>
      </c>
      <c r="CT25" s="3" t="s">
        <v>267</v>
      </c>
      <c r="CU25" s="3" t="s">
        <v>267</v>
      </c>
      <c r="CV25" s="3" t="s">
        <v>267</v>
      </c>
      <c r="CW25" s="3" t="s">
        <v>267</v>
      </c>
      <c r="CX25" s="3" t="s">
        <v>267</v>
      </c>
      <c r="CY25" s="3" t="s">
        <v>267</v>
      </c>
      <c r="DI25" s="218"/>
      <c r="DO25"/>
    </row>
    <row r="26" spans="1:144" ht="30" customHeight="1" outlineLevel="1">
      <c r="A26" s="2" t="s">
        <v>269</v>
      </c>
      <c r="BC26" s="3" t="s">
        <v>270</v>
      </c>
      <c r="BD26" s="3" t="s">
        <v>270</v>
      </c>
      <c r="BE26" s="3" t="s">
        <v>270</v>
      </c>
      <c r="BF26" s="3" t="s">
        <v>270</v>
      </c>
      <c r="BG26" s="3" t="s">
        <v>271</v>
      </c>
      <c r="BH26" s="3" t="s">
        <v>271</v>
      </c>
      <c r="BI26" s="3" t="s">
        <v>271</v>
      </c>
      <c r="BJ26" s="3" t="s">
        <v>271</v>
      </c>
      <c r="BK26" s="3" t="s">
        <v>270</v>
      </c>
      <c r="BL26" s="3" t="s">
        <v>270</v>
      </c>
      <c r="BM26" s="3" t="s">
        <v>270</v>
      </c>
      <c r="BN26" s="3" t="s">
        <v>270</v>
      </c>
      <c r="BO26" s="3" t="s">
        <v>270</v>
      </c>
      <c r="BP26" s="3" t="s">
        <v>270</v>
      </c>
      <c r="BQ26" s="3" t="s">
        <v>270</v>
      </c>
      <c r="BR26" s="3" t="s">
        <v>270</v>
      </c>
      <c r="BS26" s="3" t="s">
        <v>270</v>
      </c>
      <c r="BT26" s="3" t="s">
        <v>270</v>
      </c>
      <c r="BU26" s="3" t="s">
        <v>270</v>
      </c>
      <c r="BV26" s="3" t="s">
        <v>272</v>
      </c>
      <c r="BW26" s="3" t="s">
        <v>272</v>
      </c>
      <c r="BX26" s="3" t="s">
        <v>272</v>
      </c>
      <c r="BY26" s="3" t="s">
        <v>272</v>
      </c>
      <c r="BZ26" s="3" t="s">
        <v>272</v>
      </c>
      <c r="CA26" s="3" t="s">
        <v>272</v>
      </c>
      <c r="CB26" s="3" t="s">
        <v>270</v>
      </c>
      <c r="CC26" s="3" t="s">
        <v>270</v>
      </c>
      <c r="CD26" s="3" t="s">
        <v>270</v>
      </c>
      <c r="CE26" s="3" t="s">
        <v>270</v>
      </c>
      <c r="CF26" s="3" t="s">
        <v>270</v>
      </c>
      <c r="CG26" s="3" t="s">
        <v>270</v>
      </c>
      <c r="CH26" s="3" t="s">
        <v>270</v>
      </c>
      <c r="CI26" s="3" t="s">
        <v>270</v>
      </c>
      <c r="CJ26" s="3" t="s">
        <v>270</v>
      </c>
      <c r="CK26" s="3" t="s">
        <v>270</v>
      </c>
      <c r="CL26" s="3" t="s">
        <v>270</v>
      </c>
      <c r="CM26" s="3" t="s">
        <v>88</v>
      </c>
      <c r="CN26" s="3" t="s">
        <v>88</v>
      </c>
      <c r="CO26" s="3" t="s">
        <v>88</v>
      </c>
      <c r="CP26" s="3" t="s">
        <v>88</v>
      </c>
      <c r="CQ26" s="3" t="s">
        <v>88</v>
      </c>
      <c r="CR26" s="3" t="s">
        <v>88</v>
      </c>
      <c r="CS26" s="3" t="s">
        <v>88</v>
      </c>
      <c r="CT26" s="3" t="s">
        <v>88</v>
      </c>
      <c r="CU26" s="3" t="s">
        <v>88</v>
      </c>
      <c r="CV26" s="3" t="s">
        <v>88</v>
      </c>
      <c r="CW26" s="3" t="s">
        <v>88</v>
      </c>
      <c r="CX26" s="3" t="s">
        <v>88</v>
      </c>
      <c r="CY26" s="3" t="s">
        <v>88</v>
      </c>
      <c r="DI26" s="218"/>
      <c r="DO26"/>
    </row>
    <row r="27" spans="1:144" ht="30" customHeight="1" outlineLevel="1">
      <c r="A27" s="2" t="s">
        <v>273</v>
      </c>
      <c r="BE27" s="3" t="s">
        <v>253</v>
      </c>
      <c r="BF27" s="3" t="s">
        <v>253</v>
      </c>
      <c r="BG27" s="3" t="s">
        <v>253</v>
      </c>
      <c r="BH27" s="3" t="s">
        <v>253</v>
      </c>
      <c r="BI27" s="3" t="s">
        <v>274</v>
      </c>
      <c r="BJ27" s="3" t="s">
        <v>274</v>
      </c>
      <c r="BK27" s="3" t="s">
        <v>274</v>
      </c>
      <c r="BL27" s="3" t="s">
        <v>274</v>
      </c>
      <c r="BM27" s="3" t="s">
        <v>274</v>
      </c>
      <c r="BN27" s="3" t="s">
        <v>274</v>
      </c>
      <c r="BO27" s="3" t="s">
        <v>274</v>
      </c>
      <c r="DI27" s="218"/>
      <c r="DO27"/>
    </row>
    <row r="28" spans="1:144" ht="30" customHeight="1" outlineLevel="1">
      <c r="A28" s="2" t="s">
        <v>275</v>
      </c>
      <c r="BD28" s="3" t="s">
        <v>272</v>
      </c>
      <c r="BE28" s="3" t="s">
        <v>272</v>
      </c>
      <c r="BF28" s="3" t="s">
        <v>272</v>
      </c>
      <c r="BG28" s="3" t="s">
        <v>272</v>
      </c>
      <c r="BH28" s="3" t="s">
        <v>272</v>
      </c>
      <c r="CK28" s="3" t="s">
        <v>253</v>
      </c>
      <c r="CL28" s="3" t="s">
        <v>253</v>
      </c>
      <c r="CM28" s="3" t="s">
        <v>253</v>
      </c>
      <c r="CN28" s="3" t="s">
        <v>253</v>
      </c>
      <c r="CO28" s="3" t="s">
        <v>253</v>
      </c>
      <c r="CP28" s="3" t="s">
        <v>253</v>
      </c>
      <c r="CQ28" s="3" t="s">
        <v>253</v>
      </c>
      <c r="CR28" s="3" t="s">
        <v>253</v>
      </c>
      <c r="CS28" s="3" t="s">
        <v>253</v>
      </c>
      <c r="CT28" s="3" t="s">
        <v>253</v>
      </c>
      <c r="CU28" s="3" t="s">
        <v>253</v>
      </c>
      <c r="CV28" s="3" t="s">
        <v>253</v>
      </c>
      <c r="CW28" s="3" t="s">
        <v>253</v>
      </c>
      <c r="CX28" s="3" t="s">
        <v>253</v>
      </c>
      <c r="CY28" s="3" t="s">
        <v>253</v>
      </c>
      <c r="DI28" s="218"/>
      <c r="DO28"/>
    </row>
    <row r="29" spans="1:144" ht="30" customHeight="1" outlineLevel="1">
      <c r="A29" s="2" t="s">
        <v>276</v>
      </c>
      <c r="BT29" s="3" t="s">
        <v>257</v>
      </c>
      <c r="BU29" s="3" t="s">
        <v>257</v>
      </c>
      <c r="BV29" s="3" t="s">
        <v>258</v>
      </c>
      <c r="BW29" s="3" t="s">
        <v>258</v>
      </c>
      <c r="BX29" s="3" t="s">
        <v>258</v>
      </c>
      <c r="BY29" s="3" t="s">
        <v>258</v>
      </c>
      <c r="BZ29" s="3" t="s">
        <v>261</v>
      </c>
      <c r="CA29" s="3" t="s">
        <v>261</v>
      </c>
      <c r="CB29" s="3" t="s">
        <v>261</v>
      </c>
      <c r="CG29" s="3" t="s">
        <v>277</v>
      </c>
      <c r="CH29" s="3" t="s">
        <v>277</v>
      </c>
      <c r="CI29" s="3" t="s">
        <v>277</v>
      </c>
      <c r="CJ29" s="3" t="s">
        <v>277</v>
      </c>
      <c r="CK29" s="3" t="s">
        <v>278</v>
      </c>
      <c r="CL29" s="3" t="s">
        <v>278</v>
      </c>
      <c r="CM29" s="3" t="s">
        <v>278</v>
      </c>
      <c r="CN29" s="3" t="s">
        <v>278</v>
      </c>
      <c r="CO29" s="3" t="s">
        <v>278</v>
      </c>
      <c r="CP29" s="3" t="s">
        <v>278</v>
      </c>
      <c r="CQ29" s="3" t="s">
        <v>278</v>
      </c>
      <c r="CR29" s="3" t="s">
        <v>278</v>
      </c>
      <c r="CS29" s="3" t="s">
        <v>278</v>
      </c>
      <c r="CT29" s="3" t="s">
        <v>278</v>
      </c>
      <c r="CU29" s="3" t="s">
        <v>278</v>
      </c>
      <c r="CV29" s="3" t="s">
        <v>278</v>
      </c>
      <c r="CW29" s="3" t="s">
        <v>278</v>
      </c>
      <c r="CX29" s="3" t="s">
        <v>278</v>
      </c>
      <c r="CY29" s="3" t="s">
        <v>278</v>
      </c>
      <c r="DI29" s="218"/>
      <c r="DO29"/>
    </row>
    <row r="30" spans="1:144" ht="30" customHeight="1" outlineLevel="1">
      <c r="A30" s="2" t="s">
        <v>279</v>
      </c>
      <c r="BX30" s="3" t="s">
        <v>277</v>
      </c>
      <c r="BY30" s="3" t="s">
        <v>268</v>
      </c>
      <c r="BZ30" s="3" t="s">
        <v>268</v>
      </c>
      <c r="CA30" s="3" t="s">
        <v>268</v>
      </c>
      <c r="CB30" s="3" t="s">
        <v>268</v>
      </c>
      <c r="DI30" s="218"/>
      <c r="DO30"/>
    </row>
    <row r="31" spans="1:144" ht="30" customHeight="1" outlineLevel="1">
      <c r="A31" s="2" t="s">
        <v>280</v>
      </c>
      <c r="CF31" s="3" t="s">
        <v>263</v>
      </c>
      <c r="CG31" s="3" t="s">
        <v>263</v>
      </c>
      <c r="CH31" s="3" t="s">
        <v>263</v>
      </c>
      <c r="CI31" s="3" t="s">
        <v>263</v>
      </c>
      <c r="CJ31" s="3" t="s">
        <v>263</v>
      </c>
      <c r="CK31" s="3" t="s">
        <v>268</v>
      </c>
      <c r="CL31" s="3" t="s">
        <v>268</v>
      </c>
      <c r="CM31" s="3" t="s">
        <v>268</v>
      </c>
      <c r="CN31" s="3" t="s">
        <v>268</v>
      </c>
      <c r="CO31" s="3" t="s">
        <v>268</v>
      </c>
      <c r="CP31" s="3" t="s">
        <v>268</v>
      </c>
      <c r="CQ31" s="3" t="s">
        <v>268</v>
      </c>
      <c r="CR31" s="3" t="s">
        <v>268</v>
      </c>
      <c r="CS31" s="3" t="s">
        <v>268</v>
      </c>
      <c r="CT31" s="3" t="s">
        <v>268</v>
      </c>
      <c r="CU31" s="3" t="s">
        <v>268</v>
      </c>
      <c r="CV31" s="3" t="s">
        <v>268</v>
      </c>
      <c r="CW31" s="3" t="s">
        <v>268</v>
      </c>
      <c r="CX31" s="3" t="s">
        <v>268</v>
      </c>
      <c r="CY31" s="3" t="s">
        <v>268</v>
      </c>
      <c r="DI31" s="218"/>
      <c r="DO31"/>
    </row>
    <row r="32" spans="1:144" ht="30" customHeight="1" outlineLevel="1">
      <c r="A32" s="2" t="s">
        <v>281</v>
      </c>
      <c r="CK32" s="3" t="s">
        <v>259</v>
      </c>
      <c r="CL32" s="3" t="s">
        <v>259</v>
      </c>
      <c r="CM32" s="3" t="s">
        <v>259</v>
      </c>
      <c r="CN32" s="3" t="s">
        <v>259</v>
      </c>
      <c r="CO32" s="3" t="s">
        <v>259</v>
      </c>
      <c r="CP32" s="3" t="s">
        <v>259</v>
      </c>
      <c r="CQ32" s="3" t="s">
        <v>259</v>
      </c>
      <c r="CR32" s="3" t="s">
        <v>259</v>
      </c>
      <c r="CS32" s="3" t="s">
        <v>259</v>
      </c>
      <c r="CT32" s="3" t="s">
        <v>259</v>
      </c>
      <c r="CU32" s="3" t="s">
        <v>259</v>
      </c>
      <c r="CV32" s="3" t="s">
        <v>259</v>
      </c>
      <c r="CW32" s="3" t="s">
        <v>259</v>
      </c>
      <c r="CX32" s="3" t="s">
        <v>259</v>
      </c>
      <c r="CY32" s="3" t="s">
        <v>259</v>
      </c>
      <c r="DI32" s="218"/>
      <c r="DO32"/>
    </row>
    <row r="33" spans="1:120" ht="30" customHeight="1" outlineLevel="1">
      <c r="A33" s="2" t="s">
        <v>282</v>
      </c>
      <c r="CC33" s="3" t="s">
        <v>277</v>
      </c>
      <c r="CD33" s="3" t="s">
        <v>277</v>
      </c>
      <c r="CF33" s="3" t="s">
        <v>254</v>
      </c>
      <c r="CG33" s="3" t="s">
        <v>254</v>
      </c>
      <c r="CH33" s="3" t="s">
        <v>254</v>
      </c>
      <c r="CI33" s="3" t="s">
        <v>254</v>
      </c>
      <c r="CJ33" s="3" t="s">
        <v>254</v>
      </c>
      <c r="CK33" s="3" t="s">
        <v>254</v>
      </c>
      <c r="CL33" s="3" t="s">
        <v>254</v>
      </c>
      <c r="CM33" s="3" t="s">
        <v>254</v>
      </c>
      <c r="CN33" s="3" t="s">
        <v>254</v>
      </c>
      <c r="CO33" s="3" t="s">
        <v>254</v>
      </c>
      <c r="CP33" s="3" t="s">
        <v>254</v>
      </c>
      <c r="CQ33" s="3" t="s">
        <v>254</v>
      </c>
      <c r="CR33" s="3" t="s">
        <v>254</v>
      </c>
      <c r="CS33" s="3" t="s">
        <v>254</v>
      </c>
      <c r="CT33" s="3" t="s">
        <v>254</v>
      </c>
      <c r="CU33" s="3" t="s">
        <v>254</v>
      </c>
      <c r="CV33" s="3" t="s">
        <v>254</v>
      </c>
      <c r="CW33" s="3" t="s">
        <v>254</v>
      </c>
      <c r="CX33" s="3" t="s">
        <v>254</v>
      </c>
      <c r="CY33" s="3" t="s">
        <v>254</v>
      </c>
      <c r="DI33" s="218"/>
      <c r="DO33"/>
    </row>
    <row r="34" spans="1:120" ht="30" customHeight="1" outlineLevel="1">
      <c r="DI34" s="218"/>
      <c r="DO34"/>
    </row>
    <row r="35" spans="1:120" ht="30" customHeight="1">
      <c r="DI35" s="218"/>
      <c r="DO35"/>
    </row>
    <row r="36" spans="1:120" s="5" customFormat="1" ht="30" customHeight="1">
      <c r="A36" s="4" t="s">
        <v>283</v>
      </c>
      <c r="B36" s="5">
        <f>COUNTA(B38:B63)</f>
        <v>0</v>
      </c>
      <c r="C36" s="5">
        <f t="shared" ref="C36:BN36" si="38">COUNTA(C38:C63)</f>
        <v>0</v>
      </c>
      <c r="D36" s="5">
        <f t="shared" si="38"/>
        <v>0</v>
      </c>
      <c r="E36" s="5">
        <f t="shared" si="38"/>
        <v>0</v>
      </c>
      <c r="F36" s="5">
        <f t="shared" si="38"/>
        <v>0</v>
      </c>
      <c r="G36" s="5">
        <f t="shared" si="38"/>
        <v>4</v>
      </c>
      <c r="H36" s="5">
        <f t="shared" si="38"/>
        <v>4</v>
      </c>
      <c r="I36" s="5">
        <f t="shared" si="38"/>
        <v>4</v>
      </c>
      <c r="J36" s="5">
        <f t="shared" si="38"/>
        <v>4</v>
      </c>
      <c r="K36" s="5">
        <f t="shared" si="38"/>
        <v>4</v>
      </c>
      <c r="L36" s="5">
        <f t="shared" si="38"/>
        <v>0</v>
      </c>
      <c r="M36" s="5">
        <f t="shared" si="38"/>
        <v>0</v>
      </c>
      <c r="N36" s="5">
        <f t="shared" si="38"/>
        <v>0</v>
      </c>
      <c r="O36" s="5">
        <f t="shared" si="38"/>
        <v>0</v>
      </c>
      <c r="P36" s="5">
        <f t="shared" si="38"/>
        <v>4</v>
      </c>
      <c r="Q36" s="5">
        <f t="shared" si="38"/>
        <v>4</v>
      </c>
      <c r="R36" s="5">
        <f t="shared" si="38"/>
        <v>4</v>
      </c>
      <c r="S36" s="5">
        <f t="shared" si="38"/>
        <v>8</v>
      </c>
      <c r="T36" s="5">
        <f t="shared" si="38"/>
        <v>4</v>
      </c>
      <c r="U36" s="5">
        <f t="shared" si="38"/>
        <v>4</v>
      </c>
      <c r="V36" s="5">
        <f t="shared" si="38"/>
        <v>0</v>
      </c>
      <c r="W36" s="5">
        <f t="shared" si="38"/>
        <v>0</v>
      </c>
      <c r="X36" s="5">
        <f t="shared" si="38"/>
        <v>0</v>
      </c>
      <c r="Y36" s="5">
        <f t="shared" si="38"/>
        <v>2</v>
      </c>
      <c r="Z36" s="5">
        <f t="shared" si="38"/>
        <v>2</v>
      </c>
      <c r="AA36" s="5">
        <f t="shared" si="38"/>
        <v>2</v>
      </c>
      <c r="AB36" s="5">
        <f t="shared" si="38"/>
        <v>0</v>
      </c>
      <c r="AC36" s="5">
        <f t="shared" si="38"/>
        <v>0</v>
      </c>
      <c r="AD36" s="5">
        <f t="shared" si="38"/>
        <v>0</v>
      </c>
      <c r="AE36" s="5">
        <f t="shared" si="38"/>
        <v>0</v>
      </c>
      <c r="AF36" s="5">
        <f t="shared" si="38"/>
        <v>5</v>
      </c>
      <c r="AG36" s="5">
        <f t="shared" si="38"/>
        <v>5</v>
      </c>
      <c r="AH36" s="5">
        <f t="shared" si="38"/>
        <v>5</v>
      </c>
      <c r="AI36" s="5">
        <f t="shared" si="38"/>
        <v>1</v>
      </c>
      <c r="AJ36" s="5">
        <f t="shared" si="38"/>
        <v>1</v>
      </c>
      <c r="AK36" s="5">
        <f t="shared" si="38"/>
        <v>1</v>
      </c>
      <c r="AL36" s="5">
        <f t="shared" si="38"/>
        <v>1</v>
      </c>
      <c r="AM36" s="5">
        <f t="shared" si="38"/>
        <v>1</v>
      </c>
      <c r="AN36" s="5">
        <f t="shared" si="38"/>
        <v>1</v>
      </c>
      <c r="AO36" s="5">
        <f t="shared" si="38"/>
        <v>5</v>
      </c>
      <c r="AP36" s="5">
        <f t="shared" si="38"/>
        <v>5</v>
      </c>
      <c r="AQ36" s="5">
        <f t="shared" si="38"/>
        <v>5</v>
      </c>
      <c r="AR36" s="5">
        <f t="shared" si="38"/>
        <v>5</v>
      </c>
      <c r="AS36" s="5">
        <f t="shared" si="38"/>
        <v>5</v>
      </c>
      <c r="AT36" s="5">
        <f t="shared" si="38"/>
        <v>5</v>
      </c>
      <c r="AU36" s="5">
        <f t="shared" si="38"/>
        <v>5</v>
      </c>
      <c r="AV36" s="5">
        <f t="shared" si="38"/>
        <v>1</v>
      </c>
      <c r="AW36" s="5">
        <f t="shared" si="38"/>
        <v>1</v>
      </c>
      <c r="AX36" s="5">
        <f t="shared" si="38"/>
        <v>0</v>
      </c>
      <c r="AY36" s="5">
        <f t="shared" si="38"/>
        <v>0</v>
      </c>
      <c r="AZ36" s="5">
        <f t="shared" si="38"/>
        <v>0</v>
      </c>
      <c r="BA36" s="5">
        <f t="shared" si="38"/>
        <v>0</v>
      </c>
      <c r="BB36" s="5">
        <f t="shared" si="38"/>
        <v>0</v>
      </c>
      <c r="BC36" s="5">
        <f t="shared" si="38"/>
        <v>0</v>
      </c>
      <c r="BD36" s="5">
        <f t="shared" si="38"/>
        <v>2</v>
      </c>
      <c r="BE36" s="5">
        <f t="shared" si="38"/>
        <v>5</v>
      </c>
      <c r="BF36" s="5">
        <f>COUNTA(BF38:BF63)</f>
        <v>8</v>
      </c>
      <c r="BG36" s="5">
        <f t="shared" si="38"/>
        <v>8</v>
      </c>
      <c r="BH36" s="5">
        <f t="shared" si="38"/>
        <v>10</v>
      </c>
      <c r="BI36" s="5">
        <f t="shared" si="38"/>
        <v>13</v>
      </c>
      <c r="BJ36" s="5">
        <f t="shared" si="38"/>
        <v>10</v>
      </c>
      <c r="BK36" s="5">
        <f t="shared" si="38"/>
        <v>11</v>
      </c>
      <c r="BL36" s="5">
        <f t="shared" si="38"/>
        <v>11</v>
      </c>
      <c r="BM36" s="5">
        <f t="shared" si="38"/>
        <v>10</v>
      </c>
      <c r="BN36" s="5">
        <f t="shared" si="38"/>
        <v>11</v>
      </c>
      <c r="BO36" s="5">
        <f t="shared" ref="BO36:DM36" si="39">COUNTA(BO38:BO63)</f>
        <v>11</v>
      </c>
      <c r="BP36" s="5">
        <f t="shared" si="39"/>
        <v>9</v>
      </c>
      <c r="BQ36" s="5">
        <f t="shared" si="39"/>
        <v>8</v>
      </c>
      <c r="BR36" s="5">
        <f t="shared" si="39"/>
        <v>9</v>
      </c>
      <c r="BS36" s="5">
        <f t="shared" si="39"/>
        <v>11</v>
      </c>
      <c r="BT36" s="5">
        <f t="shared" si="39"/>
        <v>15</v>
      </c>
      <c r="BU36" s="5">
        <f t="shared" si="39"/>
        <v>15</v>
      </c>
      <c r="BV36" s="5">
        <f t="shared" si="39"/>
        <v>12</v>
      </c>
      <c r="BW36" s="5">
        <f t="shared" si="39"/>
        <v>13</v>
      </c>
      <c r="BX36" s="5">
        <f t="shared" si="39"/>
        <v>14</v>
      </c>
      <c r="BY36" s="5">
        <f t="shared" si="39"/>
        <v>12</v>
      </c>
      <c r="BZ36" s="5">
        <f t="shared" si="39"/>
        <v>11</v>
      </c>
      <c r="CA36" s="5">
        <f t="shared" si="39"/>
        <v>11</v>
      </c>
      <c r="CB36" s="5">
        <f t="shared" si="39"/>
        <v>8</v>
      </c>
      <c r="CC36" s="5">
        <f t="shared" si="39"/>
        <v>0</v>
      </c>
      <c r="CD36" s="5">
        <f t="shared" si="39"/>
        <v>0</v>
      </c>
      <c r="CE36" s="5">
        <f t="shared" si="39"/>
        <v>0</v>
      </c>
      <c r="CF36" s="5">
        <f t="shared" si="39"/>
        <v>12</v>
      </c>
      <c r="CG36" s="5">
        <f t="shared" si="39"/>
        <v>13</v>
      </c>
      <c r="CH36" s="5">
        <f t="shared" si="39"/>
        <v>10</v>
      </c>
      <c r="CI36" s="5">
        <f t="shared" si="39"/>
        <v>8</v>
      </c>
      <c r="CJ36" s="5">
        <f t="shared" si="39"/>
        <v>8</v>
      </c>
      <c r="CK36" s="5">
        <f t="shared" si="39"/>
        <v>11</v>
      </c>
      <c r="CL36" s="5">
        <f t="shared" si="39"/>
        <v>11</v>
      </c>
      <c r="CM36" s="5">
        <f t="shared" si="39"/>
        <v>11</v>
      </c>
      <c r="CN36" s="5">
        <f t="shared" si="39"/>
        <v>11</v>
      </c>
      <c r="CO36" s="5">
        <f t="shared" si="39"/>
        <v>13</v>
      </c>
      <c r="CP36" s="5">
        <f t="shared" si="39"/>
        <v>13</v>
      </c>
      <c r="CQ36" s="5">
        <f t="shared" si="39"/>
        <v>10</v>
      </c>
      <c r="CR36" s="5">
        <f t="shared" si="39"/>
        <v>11</v>
      </c>
      <c r="CS36" s="5">
        <f t="shared" si="39"/>
        <v>13</v>
      </c>
      <c r="CT36" s="5">
        <f t="shared" si="39"/>
        <v>14</v>
      </c>
      <c r="CU36" s="5">
        <f t="shared" si="39"/>
        <v>15</v>
      </c>
      <c r="CV36" s="5">
        <f t="shared" si="39"/>
        <v>15</v>
      </c>
      <c r="CW36" s="5">
        <f t="shared" si="39"/>
        <v>15</v>
      </c>
      <c r="CX36" s="5">
        <f t="shared" si="39"/>
        <v>14</v>
      </c>
      <c r="CY36" s="5">
        <f t="shared" si="39"/>
        <v>12</v>
      </c>
      <c r="CZ36" s="5">
        <f t="shared" si="39"/>
        <v>12</v>
      </c>
      <c r="DA36" s="5">
        <f t="shared" si="39"/>
        <v>10</v>
      </c>
      <c r="DB36" s="5">
        <f t="shared" si="39"/>
        <v>10</v>
      </c>
      <c r="DC36" s="5">
        <f t="shared" si="39"/>
        <v>11</v>
      </c>
      <c r="DD36" s="5">
        <f t="shared" si="39"/>
        <v>11</v>
      </c>
      <c r="DE36" s="5">
        <f t="shared" si="39"/>
        <v>9</v>
      </c>
      <c r="DF36" s="5">
        <f t="shared" si="39"/>
        <v>9</v>
      </c>
      <c r="DG36" s="5">
        <f t="shared" si="39"/>
        <v>10</v>
      </c>
      <c r="DH36" s="5">
        <f t="shared" si="39"/>
        <v>10</v>
      </c>
      <c r="DI36" s="217">
        <f>COUNTA(DI38:DI63)</f>
        <v>11</v>
      </c>
      <c r="DJ36" s="5">
        <f t="shared" si="39"/>
        <v>11</v>
      </c>
      <c r="DK36" s="5">
        <f t="shared" si="39"/>
        <v>9</v>
      </c>
      <c r="DL36" s="5">
        <f t="shared" si="39"/>
        <v>9</v>
      </c>
      <c r="DM36" s="5">
        <f t="shared" si="39"/>
        <v>9</v>
      </c>
      <c r="DO36"/>
    </row>
    <row r="37" spans="1:120" s="5" customFormat="1" ht="27" customHeight="1">
      <c r="A37" s="78" t="s">
        <v>284</v>
      </c>
      <c r="BC37" s="42">
        <f>BC36/13</f>
        <v>0</v>
      </c>
      <c r="BD37" s="42">
        <f t="shared" ref="BD37:DM37" si="40">BD36/13</f>
        <v>0.15384615384615385</v>
      </c>
      <c r="BE37" s="42">
        <f t="shared" si="40"/>
        <v>0.38461538461538464</v>
      </c>
      <c r="BF37" s="42">
        <f t="shared" si="40"/>
        <v>0.61538461538461542</v>
      </c>
      <c r="BG37" s="42">
        <f t="shared" si="40"/>
        <v>0.61538461538461542</v>
      </c>
      <c r="BH37" s="42">
        <f t="shared" si="40"/>
        <v>0.76923076923076927</v>
      </c>
      <c r="BI37" s="42">
        <f t="shared" si="40"/>
        <v>1</v>
      </c>
      <c r="BJ37" s="42">
        <f t="shared" si="40"/>
        <v>0.76923076923076927</v>
      </c>
      <c r="BK37" s="42">
        <f t="shared" si="40"/>
        <v>0.84615384615384615</v>
      </c>
      <c r="BL37" s="42">
        <f t="shared" si="40"/>
        <v>0.84615384615384615</v>
      </c>
      <c r="BM37" s="42">
        <f t="shared" si="40"/>
        <v>0.76923076923076927</v>
      </c>
      <c r="BN37" s="42">
        <f t="shared" si="40"/>
        <v>0.84615384615384615</v>
      </c>
      <c r="BO37" s="42">
        <f t="shared" si="40"/>
        <v>0.84615384615384615</v>
      </c>
      <c r="BP37" s="42">
        <f t="shared" si="40"/>
        <v>0.69230769230769229</v>
      </c>
      <c r="BQ37" s="42">
        <f t="shared" si="40"/>
        <v>0.61538461538461542</v>
      </c>
      <c r="BR37" s="42">
        <f t="shared" si="40"/>
        <v>0.69230769230769229</v>
      </c>
      <c r="BS37" s="42">
        <f t="shared" si="40"/>
        <v>0.84615384615384615</v>
      </c>
      <c r="BT37" s="42">
        <f t="shared" si="40"/>
        <v>1.1538461538461537</v>
      </c>
      <c r="BU37" s="42">
        <f t="shared" si="40"/>
        <v>1.1538461538461537</v>
      </c>
      <c r="BV37" s="42">
        <f t="shared" si="40"/>
        <v>0.92307692307692313</v>
      </c>
      <c r="BW37" s="42">
        <f t="shared" si="40"/>
        <v>1</v>
      </c>
      <c r="BX37" s="42">
        <f t="shared" si="40"/>
        <v>1.0769230769230769</v>
      </c>
      <c r="BY37" s="42">
        <f t="shared" si="40"/>
        <v>0.92307692307692313</v>
      </c>
      <c r="BZ37" s="42">
        <f t="shared" si="40"/>
        <v>0.84615384615384615</v>
      </c>
      <c r="CA37" s="42">
        <f t="shared" si="40"/>
        <v>0.84615384615384615</v>
      </c>
      <c r="CB37" s="42">
        <f t="shared" si="40"/>
        <v>0.61538461538461542</v>
      </c>
      <c r="CC37" s="42">
        <f t="shared" si="40"/>
        <v>0</v>
      </c>
      <c r="CD37" s="42">
        <f t="shared" si="40"/>
        <v>0</v>
      </c>
      <c r="CE37" s="42">
        <f t="shared" si="40"/>
        <v>0</v>
      </c>
      <c r="CF37" s="42">
        <f t="shared" si="40"/>
        <v>0.92307692307692313</v>
      </c>
      <c r="CG37" s="42">
        <f t="shared" si="40"/>
        <v>1</v>
      </c>
      <c r="CH37" s="42">
        <f t="shared" si="40"/>
        <v>0.76923076923076927</v>
      </c>
      <c r="CI37" s="42">
        <f t="shared" si="40"/>
        <v>0.61538461538461542</v>
      </c>
      <c r="CJ37" s="42">
        <f t="shared" si="40"/>
        <v>0.61538461538461542</v>
      </c>
      <c r="CK37" s="42">
        <f t="shared" si="40"/>
        <v>0.84615384615384615</v>
      </c>
      <c r="CL37" s="42">
        <f t="shared" si="40"/>
        <v>0.84615384615384615</v>
      </c>
      <c r="CM37" s="42">
        <f t="shared" si="40"/>
        <v>0.84615384615384615</v>
      </c>
      <c r="CN37" s="42">
        <f t="shared" si="40"/>
        <v>0.84615384615384615</v>
      </c>
      <c r="CO37" s="42">
        <f t="shared" si="40"/>
        <v>1</v>
      </c>
      <c r="CP37" s="42">
        <f t="shared" si="40"/>
        <v>1</v>
      </c>
      <c r="CQ37" s="42">
        <f t="shared" si="40"/>
        <v>0.76923076923076927</v>
      </c>
      <c r="CR37" s="42">
        <f t="shared" si="40"/>
        <v>0.84615384615384615</v>
      </c>
      <c r="CS37" s="42">
        <f t="shared" si="40"/>
        <v>1</v>
      </c>
      <c r="CT37" s="42">
        <f t="shared" si="40"/>
        <v>1.0769230769230769</v>
      </c>
      <c r="CU37" s="42">
        <f t="shared" si="40"/>
        <v>1.1538461538461537</v>
      </c>
      <c r="CV37" s="42">
        <f t="shared" si="40"/>
        <v>1.1538461538461537</v>
      </c>
      <c r="CW37" s="42">
        <f t="shared" si="40"/>
        <v>1.1538461538461537</v>
      </c>
      <c r="CX37" s="42">
        <f t="shared" si="40"/>
        <v>1.0769230769230769</v>
      </c>
      <c r="CY37" s="42">
        <f t="shared" si="40"/>
        <v>0.92307692307692313</v>
      </c>
      <c r="CZ37" s="42">
        <f t="shared" si="40"/>
        <v>0.92307692307692313</v>
      </c>
      <c r="DA37" s="42">
        <f t="shared" si="40"/>
        <v>0.76923076923076927</v>
      </c>
      <c r="DB37" s="42">
        <f t="shared" si="40"/>
        <v>0.76923076923076927</v>
      </c>
      <c r="DC37" s="42">
        <f t="shared" si="40"/>
        <v>0.84615384615384615</v>
      </c>
      <c r="DD37" s="42">
        <f t="shared" si="40"/>
        <v>0.84615384615384615</v>
      </c>
      <c r="DE37" s="42">
        <f t="shared" si="40"/>
        <v>0.69230769230769229</v>
      </c>
      <c r="DF37" s="42">
        <f t="shared" si="40"/>
        <v>0.69230769230769229</v>
      </c>
      <c r="DG37" s="42">
        <f t="shared" si="40"/>
        <v>0.76923076923076927</v>
      </c>
      <c r="DH37" s="42">
        <f t="shared" si="40"/>
        <v>0.76923076923076927</v>
      </c>
      <c r="DI37" s="216">
        <f>DI36/13</f>
        <v>0.84615384615384615</v>
      </c>
      <c r="DJ37" s="42">
        <f t="shared" si="40"/>
        <v>0.84615384615384615</v>
      </c>
      <c r="DK37" s="42">
        <f t="shared" si="40"/>
        <v>0.69230769230769229</v>
      </c>
      <c r="DL37" s="42">
        <f t="shared" si="40"/>
        <v>0.69230769230769229</v>
      </c>
      <c r="DM37" s="42">
        <f t="shared" si="40"/>
        <v>0.69230769230769229</v>
      </c>
    </row>
    <row r="38" spans="1:120" ht="30" customHeight="1" outlineLevel="1">
      <c r="A38" s="21" t="s">
        <v>285</v>
      </c>
      <c r="CC38" s="5"/>
      <c r="CD38" s="5"/>
      <c r="CE38" s="5"/>
    </row>
    <row r="39" spans="1:120" ht="30" customHeight="1" outlineLevel="1">
      <c r="A39" s="2" t="s">
        <v>286</v>
      </c>
      <c r="G39" s="3" t="s">
        <v>257</v>
      </c>
      <c r="H39" s="3" t="s">
        <v>257</v>
      </c>
      <c r="I39" s="3" t="s">
        <v>257</v>
      </c>
      <c r="J39" s="3" t="s">
        <v>257</v>
      </c>
      <c r="K39" s="3" t="s">
        <v>257</v>
      </c>
      <c r="P39" s="3" t="s">
        <v>257</v>
      </c>
      <c r="Q39" s="3" t="s">
        <v>257</v>
      </c>
      <c r="R39" s="3" t="s">
        <v>257</v>
      </c>
      <c r="S39" s="3" t="s">
        <v>257</v>
      </c>
      <c r="Y39" s="3" t="s">
        <v>257</v>
      </c>
      <c r="Z39" s="3" t="s">
        <v>257</v>
      </c>
      <c r="AA39" s="3" t="s">
        <v>257</v>
      </c>
      <c r="AF39" s="3" t="s">
        <v>272</v>
      </c>
      <c r="AG39" s="3" t="s">
        <v>272</v>
      </c>
      <c r="AH39" s="3" t="s">
        <v>272</v>
      </c>
      <c r="AO39" s="3" t="s">
        <v>272</v>
      </c>
      <c r="AP39" s="3" t="s">
        <v>272</v>
      </c>
      <c r="AQ39" s="3" t="s">
        <v>272</v>
      </c>
      <c r="AR39" s="3" t="s">
        <v>272</v>
      </c>
      <c r="AS39" s="3" t="s">
        <v>272</v>
      </c>
      <c r="AT39" s="3" t="s">
        <v>272</v>
      </c>
      <c r="AU39" s="3" t="s">
        <v>272</v>
      </c>
      <c r="BJ39" s="3" t="s">
        <v>257</v>
      </c>
      <c r="BK39" s="3" t="s">
        <v>257</v>
      </c>
      <c r="BL39" s="3" t="s">
        <v>257</v>
      </c>
      <c r="BM39" s="3" t="s">
        <v>257</v>
      </c>
      <c r="BN39" s="3" t="s">
        <v>257</v>
      </c>
      <c r="BO39" s="3" t="s">
        <v>257</v>
      </c>
      <c r="BQ39" s="3" t="s">
        <v>257</v>
      </c>
      <c r="BR39" s="3" t="s">
        <v>257</v>
      </c>
      <c r="BS39" s="3" t="s">
        <v>257</v>
      </c>
      <c r="BT39" s="3" t="s">
        <v>257</v>
      </c>
      <c r="BU39" s="3" t="s">
        <v>257</v>
      </c>
      <c r="BX39" s="3" t="s">
        <v>277</v>
      </c>
      <c r="BY39" s="3" t="s">
        <v>277</v>
      </c>
      <c r="BZ39" s="3" t="s">
        <v>277</v>
      </c>
      <c r="CA39" s="3" t="s">
        <v>277</v>
      </c>
      <c r="CB39" s="3" t="s">
        <v>277</v>
      </c>
      <c r="CC39" s="5"/>
      <c r="CD39" s="5"/>
      <c r="CE39" s="5"/>
      <c r="CK39" s="3" t="s">
        <v>277</v>
      </c>
      <c r="CL39" s="3" t="s">
        <v>277</v>
      </c>
      <c r="CM39" s="3" t="s">
        <v>277</v>
      </c>
      <c r="CN39" s="3" t="s">
        <v>277</v>
      </c>
      <c r="CO39" s="3" t="s">
        <v>287</v>
      </c>
      <c r="CP39" s="3" t="s">
        <v>259</v>
      </c>
      <c r="CQ39" s="3" t="s">
        <v>259</v>
      </c>
      <c r="CR39" s="3" t="s">
        <v>259</v>
      </c>
      <c r="CS39" s="3" t="s">
        <v>259</v>
      </c>
      <c r="CT39" s="3" t="s">
        <v>268</v>
      </c>
      <c r="CU39" s="3" t="s">
        <v>268</v>
      </c>
      <c r="CV39" s="3" t="s">
        <v>268</v>
      </c>
      <c r="CW39" s="3" t="s">
        <v>268</v>
      </c>
      <c r="CX39" s="3" t="s">
        <v>268</v>
      </c>
      <c r="CY39" s="3" t="s">
        <v>268</v>
      </c>
      <c r="CZ39" s="3" t="s">
        <v>268</v>
      </c>
      <c r="DA39" s="3" t="s">
        <v>268</v>
      </c>
      <c r="DB39" s="3" t="s">
        <v>268</v>
      </c>
      <c r="DC39" s="3" t="s">
        <v>268</v>
      </c>
      <c r="DD39" s="3" t="s">
        <v>268</v>
      </c>
      <c r="DE39" s="3" t="s">
        <v>268</v>
      </c>
      <c r="DF39" s="3" t="s">
        <v>268</v>
      </c>
      <c r="DG39" s="3" t="s">
        <v>268</v>
      </c>
      <c r="DH39" s="3" t="s">
        <v>268</v>
      </c>
      <c r="DI39" s="3" t="s">
        <v>268</v>
      </c>
      <c r="DJ39" s="3" t="s">
        <v>268</v>
      </c>
      <c r="DK39" s="3" t="s">
        <v>268</v>
      </c>
      <c r="DL39" s="3" t="s">
        <v>268</v>
      </c>
      <c r="DM39" s="3" t="s">
        <v>268</v>
      </c>
      <c r="DN39" s="3" t="s">
        <v>268</v>
      </c>
      <c r="DO39" s="3" t="s">
        <v>268</v>
      </c>
      <c r="DP39" s="3" t="s">
        <v>268</v>
      </c>
    </row>
    <row r="40" spans="1:120" ht="30" customHeight="1" outlineLevel="1">
      <c r="A40" s="2" t="s">
        <v>288</v>
      </c>
      <c r="BS40" s="3" t="s">
        <v>259</v>
      </c>
      <c r="BT40" s="3" t="s">
        <v>259</v>
      </c>
      <c r="BU40" s="3" t="s">
        <v>259</v>
      </c>
      <c r="BV40" s="3" t="s">
        <v>259</v>
      </c>
      <c r="BW40" s="3" t="s">
        <v>259</v>
      </c>
      <c r="BX40" s="3" t="s">
        <v>259</v>
      </c>
      <c r="BY40" s="3" t="s">
        <v>259</v>
      </c>
      <c r="BZ40" s="3" t="s">
        <v>259</v>
      </c>
      <c r="CA40" s="3" t="s">
        <v>259</v>
      </c>
      <c r="CB40" s="3" t="s">
        <v>259</v>
      </c>
      <c r="CC40" s="5"/>
      <c r="CD40" s="5"/>
      <c r="CE40" s="5"/>
    </row>
    <row r="41" spans="1:120" ht="30" customHeight="1" outlineLevel="1">
      <c r="A41" s="2" t="s">
        <v>289</v>
      </c>
      <c r="BF41" s="3" t="s">
        <v>253</v>
      </c>
      <c r="BG41" s="3" t="s">
        <v>253</v>
      </c>
      <c r="BH41" s="3" t="s">
        <v>253</v>
      </c>
      <c r="BI41" s="3" t="s">
        <v>253</v>
      </c>
      <c r="BJ41" s="3" t="s">
        <v>253</v>
      </c>
      <c r="BK41" s="3" t="s">
        <v>253</v>
      </c>
      <c r="BL41" s="3" t="s">
        <v>253</v>
      </c>
      <c r="BM41" s="3" t="s">
        <v>253</v>
      </c>
      <c r="BN41" s="3" t="s">
        <v>253</v>
      </c>
      <c r="BO41" s="3" t="s">
        <v>253</v>
      </c>
      <c r="BP41" s="3" t="s">
        <v>253</v>
      </c>
      <c r="BQ41" s="3" t="s">
        <v>253</v>
      </c>
      <c r="BR41" s="3" t="s">
        <v>253</v>
      </c>
      <c r="BS41" s="3" t="s">
        <v>253</v>
      </c>
      <c r="BT41" s="3" t="s">
        <v>253</v>
      </c>
      <c r="BU41" s="3" t="s">
        <v>253</v>
      </c>
      <c r="BV41" s="3" t="s">
        <v>253</v>
      </c>
      <c r="BW41" s="3" t="s">
        <v>253</v>
      </c>
      <c r="BX41" s="3" t="s">
        <v>253</v>
      </c>
      <c r="BY41" s="3" t="s">
        <v>253</v>
      </c>
      <c r="BZ41" s="3" t="s">
        <v>253</v>
      </c>
      <c r="CA41" s="3" t="s">
        <v>253</v>
      </c>
      <c r="CC41" s="5"/>
      <c r="CD41" s="5"/>
      <c r="CE41" s="5"/>
      <c r="CF41" s="3" t="s">
        <v>272</v>
      </c>
      <c r="CG41" s="3" t="s">
        <v>272</v>
      </c>
      <c r="CH41" s="3" t="s">
        <v>272</v>
      </c>
      <c r="CI41" s="3" t="s">
        <v>272</v>
      </c>
      <c r="CJ41" s="3" t="s">
        <v>272</v>
      </c>
      <c r="CK41" s="3" t="s">
        <v>272</v>
      </c>
      <c r="CL41" s="3" t="s">
        <v>272</v>
      </c>
      <c r="CM41" s="3" t="s">
        <v>272</v>
      </c>
      <c r="CN41" s="3" t="s">
        <v>272</v>
      </c>
      <c r="CO41" s="3" t="s">
        <v>272</v>
      </c>
      <c r="CP41" s="3" t="s">
        <v>272</v>
      </c>
      <c r="CQ41" s="3" t="s">
        <v>272</v>
      </c>
      <c r="CR41" s="3" t="s">
        <v>272</v>
      </c>
      <c r="CS41" s="3" t="s">
        <v>272</v>
      </c>
      <c r="CT41" s="3" t="s">
        <v>272</v>
      </c>
      <c r="CU41" s="3" t="s">
        <v>272</v>
      </c>
      <c r="CV41" s="3" t="s">
        <v>272</v>
      </c>
      <c r="CW41" s="3" t="s">
        <v>272</v>
      </c>
      <c r="CX41" s="3" t="s">
        <v>272</v>
      </c>
      <c r="CY41" s="3" t="s">
        <v>272</v>
      </c>
      <c r="CZ41" s="3" t="s">
        <v>272</v>
      </c>
    </row>
    <row r="42" spans="1:120" ht="30" customHeight="1" outlineLevel="1">
      <c r="A42" s="2" t="s">
        <v>290</v>
      </c>
      <c r="S42" s="3" t="s">
        <v>272</v>
      </c>
      <c r="T42" s="3" t="s">
        <v>272</v>
      </c>
      <c r="U42" s="3" t="s">
        <v>272</v>
      </c>
      <c r="BE42" s="3" t="s">
        <v>257</v>
      </c>
      <c r="BF42" s="3" t="s">
        <v>257</v>
      </c>
      <c r="BG42" s="3" t="s">
        <v>257</v>
      </c>
      <c r="BH42" s="3" t="s">
        <v>257</v>
      </c>
      <c r="BI42" s="3" t="s">
        <v>257</v>
      </c>
      <c r="BP42" s="3" t="s">
        <v>291</v>
      </c>
      <c r="BQ42" s="3" t="s">
        <v>257</v>
      </c>
      <c r="BR42" s="3" t="s">
        <v>257</v>
      </c>
      <c r="BS42" s="3" t="s">
        <v>257</v>
      </c>
      <c r="BT42" s="3" t="s">
        <v>257</v>
      </c>
      <c r="BU42" s="3" t="s">
        <v>257</v>
      </c>
      <c r="BV42" s="3" t="s">
        <v>257</v>
      </c>
      <c r="BW42" s="3" t="s">
        <v>257</v>
      </c>
      <c r="BX42" s="3" t="s">
        <v>257</v>
      </c>
      <c r="BY42" s="3" t="s">
        <v>257</v>
      </c>
      <c r="BZ42" s="3" t="s">
        <v>257</v>
      </c>
      <c r="CA42" s="3" t="s">
        <v>257</v>
      </c>
      <c r="CB42" s="3" t="s">
        <v>257</v>
      </c>
      <c r="CC42" s="5"/>
      <c r="CD42" s="5"/>
      <c r="CE42" s="5"/>
      <c r="CF42" s="3" t="s">
        <v>277</v>
      </c>
      <c r="CG42" s="3" t="s">
        <v>277</v>
      </c>
      <c r="CH42" s="3" t="s">
        <v>277</v>
      </c>
      <c r="CO42" s="3" t="s">
        <v>268</v>
      </c>
      <c r="CP42" s="3" t="s">
        <v>268</v>
      </c>
      <c r="CQ42" s="3" t="s">
        <v>268</v>
      </c>
      <c r="CR42" s="3" t="s">
        <v>268</v>
      </c>
      <c r="CS42" s="3" t="s">
        <v>268</v>
      </c>
      <c r="CT42" s="3" t="s">
        <v>257</v>
      </c>
    </row>
    <row r="43" spans="1:120" ht="30" customHeight="1" outlineLevel="1">
      <c r="A43" s="2" t="s">
        <v>292</v>
      </c>
      <c r="S43" s="3" t="s">
        <v>272</v>
      </c>
      <c r="T43" s="3" t="s">
        <v>272</v>
      </c>
      <c r="U43" s="3" t="s">
        <v>272</v>
      </c>
      <c r="CC43" s="5"/>
      <c r="CD43" s="5"/>
      <c r="CE43" s="5"/>
      <c r="CK43" s="3" t="s">
        <v>277</v>
      </c>
      <c r="CL43" s="3" t="s">
        <v>277</v>
      </c>
      <c r="CM43" s="3" t="s">
        <v>277</v>
      </c>
      <c r="CN43" s="3" t="s">
        <v>277</v>
      </c>
      <c r="CO43" s="3" t="s">
        <v>277</v>
      </c>
      <c r="CP43" s="3" t="s">
        <v>268</v>
      </c>
      <c r="CQ43" s="3" t="s">
        <v>268</v>
      </c>
      <c r="CR43" s="3" t="s">
        <v>268</v>
      </c>
      <c r="CS43" s="3" t="s">
        <v>268</v>
      </c>
    </row>
    <row r="44" spans="1:120" ht="30" customHeight="1" outlineLevel="1">
      <c r="A44" s="2" t="s">
        <v>293</v>
      </c>
      <c r="BI44" s="3" t="s">
        <v>253</v>
      </c>
      <c r="BJ44" s="3" t="s">
        <v>253</v>
      </c>
      <c r="BK44" s="3" t="s">
        <v>253</v>
      </c>
      <c r="BL44" s="3" t="s">
        <v>253</v>
      </c>
      <c r="BM44" s="3" t="s">
        <v>253</v>
      </c>
      <c r="BN44" s="3" t="s">
        <v>253</v>
      </c>
      <c r="BO44" s="3" t="s">
        <v>253</v>
      </c>
      <c r="BP44" s="3" t="s">
        <v>253</v>
      </c>
      <c r="BQ44" s="3" t="s">
        <v>253</v>
      </c>
      <c r="BR44" s="3" t="s">
        <v>253</v>
      </c>
      <c r="BS44" s="3" t="s">
        <v>253</v>
      </c>
      <c r="BT44" s="3" t="s">
        <v>253</v>
      </c>
      <c r="BU44" s="3" t="s">
        <v>253</v>
      </c>
      <c r="BV44" s="3" t="s">
        <v>253</v>
      </c>
      <c r="BW44" s="3" t="s">
        <v>253</v>
      </c>
      <c r="BX44" s="3" t="s">
        <v>253</v>
      </c>
      <c r="BY44" s="3" t="s">
        <v>253</v>
      </c>
      <c r="BZ44" s="3" t="s">
        <v>253</v>
      </c>
      <c r="CA44" s="3" t="s">
        <v>253</v>
      </c>
      <c r="CC44" s="5"/>
      <c r="CD44" s="5"/>
      <c r="CE44" s="5"/>
    </row>
    <row r="45" spans="1:120" ht="30" customHeight="1" outlineLevel="1">
      <c r="A45" s="2" t="s">
        <v>294</v>
      </c>
      <c r="CC45" s="5"/>
      <c r="CD45" s="5"/>
      <c r="CE45" s="5"/>
    </row>
    <row r="46" spans="1:120" ht="30" customHeight="1" outlineLevel="1">
      <c r="A46" s="2" t="s">
        <v>295</v>
      </c>
      <c r="S46" s="3" t="s">
        <v>272</v>
      </c>
      <c r="T46" s="3" t="s">
        <v>272</v>
      </c>
      <c r="U46" s="3" t="s">
        <v>272</v>
      </c>
      <c r="BE46" s="3" t="s">
        <v>257</v>
      </c>
      <c r="BF46" s="3" t="s">
        <v>257</v>
      </c>
      <c r="BG46" s="3" t="s">
        <v>257</v>
      </c>
      <c r="BH46" s="3" t="s">
        <v>257</v>
      </c>
      <c r="BI46" s="3" t="s">
        <v>257</v>
      </c>
      <c r="BJ46" s="3" t="s">
        <v>257</v>
      </c>
      <c r="BK46" s="3" t="s">
        <v>257</v>
      </c>
      <c r="BL46" s="3" t="s">
        <v>257</v>
      </c>
      <c r="BM46" s="3" t="s">
        <v>257</v>
      </c>
      <c r="BN46" s="3" t="s">
        <v>257</v>
      </c>
      <c r="BO46" s="3" t="s">
        <v>257</v>
      </c>
      <c r="BS46" s="3" t="s">
        <v>291</v>
      </c>
      <c r="BT46" s="3" t="s">
        <v>257</v>
      </c>
      <c r="BU46" s="3" t="s">
        <v>257</v>
      </c>
      <c r="BV46" s="3" t="s">
        <v>257</v>
      </c>
      <c r="BW46" s="3" t="s">
        <v>257</v>
      </c>
      <c r="BX46" s="3" t="s">
        <v>257</v>
      </c>
      <c r="BY46" s="3" t="s">
        <v>257</v>
      </c>
      <c r="BZ46" s="3" t="s">
        <v>257</v>
      </c>
      <c r="CA46" s="3" t="s">
        <v>257</v>
      </c>
      <c r="CB46" s="3" t="s">
        <v>257</v>
      </c>
      <c r="CC46" s="5"/>
      <c r="CD46" s="5"/>
      <c r="CE46" s="5"/>
      <c r="CK46" s="3" t="s">
        <v>277</v>
      </c>
      <c r="CL46" s="3" t="s">
        <v>277</v>
      </c>
      <c r="CM46" s="3" t="s">
        <v>277</v>
      </c>
      <c r="CN46" s="3" t="s">
        <v>277</v>
      </c>
      <c r="CO46" s="3" t="s">
        <v>277</v>
      </c>
      <c r="CP46" s="3" t="s">
        <v>277</v>
      </c>
      <c r="CT46" s="3" t="s">
        <v>268</v>
      </c>
      <c r="CU46" s="3" t="s">
        <v>268</v>
      </c>
      <c r="CV46" s="3" t="s">
        <v>268</v>
      </c>
      <c r="CW46" s="3" t="s">
        <v>268</v>
      </c>
      <c r="CX46" s="3" t="s">
        <v>268</v>
      </c>
      <c r="CY46" s="3" t="s">
        <v>268</v>
      </c>
      <c r="CZ46" s="3" t="s">
        <v>268</v>
      </c>
      <c r="DA46" s="3" t="s">
        <v>268</v>
      </c>
      <c r="DB46" s="3" t="s">
        <v>268</v>
      </c>
      <c r="DC46" s="3" t="s">
        <v>268</v>
      </c>
      <c r="DD46" s="3" t="s">
        <v>268</v>
      </c>
      <c r="DE46" s="3" t="s">
        <v>268</v>
      </c>
      <c r="DF46" s="3" t="s">
        <v>268</v>
      </c>
      <c r="DG46" s="3" t="s">
        <v>268</v>
      </c>
      <c r="DH46" s="3" t="s">
        <v>268</v>
      </c>
      <c r="DI46" s="3" t="s">
        <v>268</v>
      </c>
      <c r="DJ46" s="3" t="s">
        <v>268</v>
      </c>
      <c r="DK46" s="3" t="s">
        <v>268</v>
      </c>
      <c r="DL46" s="3" t="s">
        <v>268</v>
      </c>
      <c r="DM46" s="3" t="s">
        <v>268</v>
      </c>
      <c r="DN46" s="3" t="s">
        <v>268</v>
      </c>
      <c r="DO46" s="3" t="s">
        <v>268</v>
      </c>
      <c r="DP46" s="3" t="s">
        <v>268</v>
      </c>
    </row>
    <row r="47" spans="1:120" ht="30" customHeight="1" outlineLevel="1">
      <c r="A47" s="2" t="s">
        <v>296</v>
      </c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</row>
    <row r="48" spans="1:120" ht="30" customHeight="1" outlineLevel="1">
      <c r="A48" s="2" t="s">
        <v>297</v>
      </c>
      <c r="S48" s="3" t="s">
        <v>272</v>
      </c>
      <c r="T48" s="3" t="s">
        <v>272</v>
      </c>
      <c r="U48" s="3" t="s">
        <v>272</v>
      </c>
      <c r="BE48" s="3" t="s">
        <v>257</v>
      </c>
      <c r="BF48" s="3" t="s">
        <v>257</v>
      </c>
      <c r="BG48" s="3" t="s">
        <v>257</v>
      </c>
      <c r="BH48" s="3" t="s">
        <v>257</v>
      </c>
      <c r="BI48" s="3" t="s">
        <v>257</v>
      </c>
      <c r="BJ48" s="3" t="s">
        <v>257</v>
      </c>
      <c r="BK48" s="3" t="s">
        <v>257</v>
      </c>
      <c r="BL48" s="3" t="s">
        <v>257</v>
      </c>
      <c r="BM48" s="3" t="s">
        <v>257</v>
      </c>
      <c r="BN48" s="3" t="s">
        <v>257</v>
      </c>
      <c r="BO48" s="3" t="s">
        <v>257</v>
      </c>
      <c r="BP48" s="3" t="s">
        <v>291</v>
      </c>
      <c r="BR48" s="3" t="s">
        <v>291</v>
      </c>
      <c r="BT48" s="3" t="s">
        <v>257</v>
      </c>
      <c r="BU48" s="3" t="s">
        <v>257</v>
      </c>
      <c r="BV48" s="3" t="s">
        <v>257</v>
      </c>
      <c r="BW48" s="3" t="s">
        <v>257</v>
      </c>
      <c r="BX48" s="3" t="s">
        <v>257</v>
      </c>
      <c r="BY48" s="3" t="s">
        <v>257</v>
      </c>
      <c r="CC48" s="5"/>
      <c r="CD48" s="5"/>
      <c r="CE48" s="5"/>
      <c r="CG48" s="3" t="s">
        <v>268</v>
      </c>
      <c r="CJ48" s="3" t="s">
        <v>268</v>
      </c>
      <c r="CO48" s="3" t="s">
        <v>268</v>
      </c>
      <c r="CP48" s="3" t="s">
        <v>268</v>
      </c>
      <c r="CQ48" s="3" t="s">
        <v>268</v>
      </c>
      <c r="CR48" s="3" t="s">
        <v>268</v>
      </c>
      <c r="CS48" s="3" t="s">
        <v>268</v>
      </c>
      <c r="CT48" s="3" t="s">
        <v>268</v>
      </c>
      <c r="CU48" s="3" t="s">
        <v>268</v>
      </c>
      <c r="CV48" s="3" t="s">
        <v>268</v>
      </c>
      <c r="CW48" s="3" t="s">
        <v>268</v>
      </c>
      <c r="CX48" s="3" t="s">
        <v>268</v>
      </c>
      <c r="CY48" s="3" t="s">
        <v>268</v>
      </c>
      <c r="CZ48" s="3" t="s">
        <v>268</v>
      </c>
      <c r="DA48" s="3" t="s">
        <v>268</v>
      </c>
      <c r="DB48" s="3" t="s">
        <v>268</v>
      </c>
      <c r="DC48" s="3" t="s">
        <v>268</v>
      </c>
      <c r="DD48" s="3" t="s">
        <v>268</v>
      </c>
      <c r="DE48" s="3" t="s">
        <v>268</v>
      </c>
      <c r="DF48" s="3" t="s">
        <v>268</v>
      </c>
      <c r="DG48" s="3" t="s">
        <v>268</v>
      </c>
      <c r="DH48" s="3" t="s">
        <v>268</v>
      </c>
      <c r="DI48" s="3" t="s">
        <v>268</v>
      </c>
      <c r="DJ48" s="3" t="s">
        <v>268</v>
      </c>
      <c r="DK48" s="3" t="s">
        <v>268</v>
      </c>
      <c r="DL48" s="3" t="s">
        <v>268</v>
      </c>
      <c r="DM48" s="3" t="s">
        <v>268</v>
      </c>
      <c r="DN48" s="3" t="s">
        <v>268</v>
      </c>
      <c r="DO48" s="3" t="s">
        <v>268</v>
      </c>
      <c r="DP48" s="3" t="s">
        <v>268</v>
      </c>
    </row>
    <row r="49" spans="1:132" ht="30" customHeight="1" outlineLevel="1">
      <c r="A49" s="2" t="s">
        <v>298</v>
      </c>
      <c r="BK49" s="3" t="s">
        <v>299</v>
      </c>
      <c r="BL49" s="3" t="s">
        <v>300</v>
      </c>
      <c r="BO49" s="3" t="s">
        <v>291</v>
      </c>
      <c r="BT49" s="3" t="s">
        <v>277</v>
      </c>
      <c r="BU49" s="3" t="s">
        <v>277</v>
      </c>
      <c r="BV49" s="3" t="s">
        <v>277</v>
      </c>
      <c r="BW49" s="3" t="s">
        <v>277</v>
      </c>
      <c r="BX49" s="3" t="s">
        <v>277</v>
      </c>
      <c r="BY49" s="3" t="s">
        <v>277</v>
      </c>
      <c r="BZ49" s="3" t="s">
        <v>277</v>
      </c>
      <c r="CA49" s="3" t="s">
        <v>277</v>
      </c>
      <c r="CB49" s="3" t="s">
        <v>277</v>
      </c>
      <c r="CC49" s="5"/>
      <c r="CD49" s="5"/>
      <c r="CE49" s="5"/>
      <c r="CF49" s="3" t="s">
        <v>277</v>
      </c>
      <c r="CG49" s="3" t="s">
        <v>277</v>
      </c>
      <c r="CH49" s="3" t="s">
        <v>277</v>
      </c>
      <c r="CI49" s="3" t="s">
        <v>277</v>
      </c>
      <c r="CK49" s="3" t="s">
        <v>277</v>
      </c>
      <c r="CL49" s="3" t="s">
        <v>277</v>
      </c>
      <c r="CM49" s="3" t="s">
        <v>277</v>
      </c>
      <c r="CN49" s="3" t="s">
        <v>277</v>
      </c>
      <c r="CO49" s="3" t="s">
        <v>277</v>
      </c>
      <c r="CP49" s="3" t="s">
        <v>277</v>
      </c>
    </row>
    <row r="50" spans="1:132" ht="30" customHeight="1" outlineLevel="1">
      <c r="A50" s="2" t="s">
        <v>301</v>
      </c>
      <c r="CC50" s="5"/>
      <c r="CD50" s="5"/>
      <c r="CE50" s="5"/>
      <c r="CF50" s="3" t="s">
        <v>254</v>
      </c>
      <c r="CG50" s="3" t="s">
        <v>254</v>
      </c>
      <c r="CH50" s="3" t="s">
        <v>254</v>
      </c>
      <c r="CI50" s="3" t="s">
        <v>254</v>
      </c>
      <c r="CJ50" s="3" t="s">
        <v>254</v>
      </c>
      <c r="CK50" s="3" t="s">
        <v>254</v>
      </c>
      <c r="CL50" s="3" t="s">
        <v>254</v>
      </c>
      <c r="CM50" s="3" t="s">
        <v>254</v>
      </c>
      <c r="CN50" s="3" t="s">
        <v>254</v>
      </c>
      <c r="CO50" s="3" t="s">
        <v>254</v>
      </c>
      <c r="CP50" s="3" t="s">
        <v>254</v>
      </c>
      <c r="DC50" s="3" t="s">
        <v>268</v>
      </c>
      <c r="DD50" s="3" t="s">
        <v>268</v>
      </c>
      <c r="DE50" s="3" t="s">
        <v>268</v>
      </c>
      <c r="DF50" s="3" t="s">
        <v>268</v>
      </c>
      <c r="DG50" s="3" t="s">
        <v>268</v>
      </c>
      <c r="DH50" s="3" t="s">
        <v>268</v>
      </c>
      <c r="DI50" s="3" t="s">
        <v>268</v>
      </c>
      <c r="DJ50" s="3" t="s">
        <v>268</v>
      </c>
    </row>
    <row r="51" spans="1:132" ht="30" customHeight="1" outlineLevel="1">
      <c r="A51" s="2" t="s">
        <v>302</v>
      </c>
      <c r="P51" s="3" t="s">
        <v>257</v>
      </c>
      <c r="Q51" s="3" t="s">
        <v>257</v>
      </c>
      <c r="R51" s="3" t="s">
        <v>257</v>
      </c>
      <c r="S51" s="3" t="s">
        <v>257</v>
      </c>
      <c r="AF51" s="3" t="s">
        <v>272</v>
      </c>
      <c r="AG51" s="3" t="s">
        <v>272</v>
      </c>
      <c r="AH51" s="3" t="s">
        <v>272</v>
      </c>
      <c r="AO51" s="3" t="s">
        <v>272</v>
      </c>
      <c r="AP51" s="3" t="s">
        <v>272</v>
      </c>
      <c r="AQ51" s="3" t="s">
        <v>272</v>
      </c>
      <c r="AR51" s="3" t="s">
        <v>272</v>
      </c>
      <c r="AS51" s="3" t="s">
        <v>272</v>
      </c>
      <c r="AT51" s="3" t="s">
        <v>272</v>
      </c>
      <c r="AU51" s="3" t="s">
        <v>272</v>
      </c>
      <c r="BT51" s="3" t="s">
        <v>259</v>
      </c>
      <c r="BU51" s="3" t="s">
        <v>259</v>
      </c>
      <c r="BV51" s="3" t="s">
        <v>259</v>
      </c>
      <c r="BW51" s="3" t="s">
        <v>259</v>
      </c>
      <c r="BX51" s="3" t="s">
        <v>259</v>
      </c>
      <c r="BY51" s="3" t="s">
        <v>259</v>
      </c>
      <c r="BZ51" s="3" t="s">
        <v>259</v>
      </c>
      <c r="CA51" s="3" t="s">
        <v>259</v>
      </c>
      <c r="CB51" s="3" t="s">
        <v>259</v>
      </c>
      <c r="CC51" s="5"/>
      <c r="CD51" s="5"/>
      <c r="CE51" s="5"/>
      <c r="CS51" s="3" t="s">
        <v>259</v>
      </c>
      <c r="CT51" s="3" t="s">
        <v>259</v>
      </c>
      <c r="CU51" s="3" t="s">
        <v>259</v>
      </c>
      <c r="CV51" s="3" t="s">
        <v>259</v>
      </c>
      <c r="CW51" s="3" t="s">
        <v>259</v>
      </c>
      <c r="CX51" s="3" t="s">
        <v>259</v>
      </c>
    </row>
    <row r="52" spans="1:132" ht="30" customHeight="1" outlineLevel="1">
      <c r="A52" s="2" t="s">
        <v>303</v>
      </c>
      <c r="CC52" s="5"/>
      <c r="CD52" s="5"/>
      <c r="CE52" s="5"/>
    </row>
    <row r="53" spans="1:132" ht="30" customHeight="1" outlineLevel="1">
      <c r="A53" s="2" t="s">
        <v>304</v>
      </c>
      <c r="G53" s="3" t="s">
        <v>257</v>
      </c>
      <c r="H53" s="3" t="s">
        <v>257</v>
      </c>
      <c r="I53" s="3" t="s">
        <v>257</v>
      </c>
      <c r="J53" s="3" t="s">
        <v>257</v>
      </c>
      <c r="K53" s="3" t="s">
        <v>257</v>
      </c>
      <c r="Y53" s="3" t="s">
        <v>257</v>
      </c>
      <c r="Z53" s="3" t="s">
        <v>257</v>
      </c>
      <c r="AA53" s="3" t="s">
        <v>257</v>
      </c>
      <c r="BI53" s="3" t="s">
        <v>305</v>
      </c>
      <c r="CC53" s="5"/>
      <c r="CD53" s="5"/>
      <c r="CE53" s="5"/>
      <c r="CF53" s="3" t="s">
        <v>272</v>
      </c>
      <c r="CG53" s="3" t="s">
        <v>272</v>
      </c>
      <c r="CH53" s="3" t="s">
        <v>272</v>
      </c>
      <c r="CI53" s="3" t="s">
        <v>272</v>
      </c>
      <c r="CJ53" s="3" t="s">
        <v>272</v>
      </c>
      <c r="CK53" s="3" t="s">
        <v>272</v>
      </c>
      <c r="CL53" s="3" t="s">
        <v>272</v>
      </c>
      <c r="CM53" s="3" t="s">
        <v>272</v>
      </c>
      <c r="CN53" s="3" t="s">
        <v>272</v>
      </c>
      <c r="CO53" s="3" t="s">
        <v>272</v>
      </c>
      <c r="CP53" s="3" t="s">
        <v>272</v>
      </c>
      <c r="CQ53" s="3" t="s">
        <v>272</v>
      </c>
      <c r="CR53" s="3" t="s">
        <v>272</v>
      </c>
      <c r="CS53" s="3" t="s">
        <v>272</v>
      </c>
      <c r="CT53" s="3" t="s">
        <v>272</v>
      </c>
      <c r="CU53" s="3" t="s">
        <v>272</v>
      </c>
      <c r="CV53" s="3" t="s">
        <v>272</v>
      </c>
      <c r="CW53" s="3" t="s">
        <v>272</v>
      </c>
      <c r="CX53" s="3" t="s">
        <v>272</v>
      </c>
      <c r="CY53" s="3" t="s">
        <v>272</v>
      </c>
      <c r="CZ53" s="3" t="s">
        <v>272</v>
      </c>
      <c r="DA53" s="3" t="s">
        <v>272</v>
      </c>
      <c r="DB53" s="3" t="s">
        <v>272</v>
      </c>
      <c r="DC53" s="3" t="s">
        <v>272</v>
      </c>
      <c r="DD53" s="3" t="s">
        <v>272</v>
      </c>
      <c r="DE53" s="3" t="s">
        <v>272</v>
      </c>
      <c r="DF53" s="3" t="s">
        <v>272</v>
      </c>
      <c r="DG53" s="3" t="s">
        <v>272</v>
      </c>
      <c r="DH53" s="3" t="s">
        <v>272</v>
      </c>
      <c r="DI53" s="3" t="s">
        <v>272</v>
      </c>
      <c r="DJ53" s="3" t="s">
        <v>272</v>
      </c>
      <c r="DK53" s="3" t="s">
        <v>272</v>
      </c>
      <c r="DL53" s="3" t="s">
        <v>272</v>
      </c>
      <c r="DM53" s="3" t="s">
        <v>272</v>
      </c>
      <c r="DN53" s="3" t="s">
        <v>272</v>
      </c>
      <c r="DO53" s="3" t="s">
        <v>272</v>
      </c>
      <c r="DP53" s="3" t="s">
        <v>272</v>
      </c>
      <c r="DQ53" s="3" t="s">
        <v>272</v>
      </c>
      <c r="DR53" s="3" t="s">
        <v>272</v>
      </c>
      <c r="DS53" s="3" t="s">
        <v>272</v>
      </c>
      <c r="DT53" s="3" t="s">
        <v>253</v>
      </c>
      <c r="DU53" s="3" t="s">
        <v>253</v>
      </c>
      <c r="DV53" s="3" t="s">
        <v>253</v>
      </c>
      <c r="DW53" s="3" t="s">
        <v>253</v>
      </c>
      <c r="DX53" s="3" t="s">
        <v>253</v>
      </c>
      <c r="DY53" s="3" t="s">
        <v>253</v>
      </c>
      <c r="DZ53" s="3" t="s">
        <v>253</v>
      </c>
      <c r="EA53" s="3" t="s">
        <v>253</v>
      </c>
      <c r="EB53" s="3" t="s">
        <v>253</v>
      </c>
    </row>
    <row r="54" spans="1:132" ht="30" customHeight="1" outlineLevel="1">
      <c r="A54" s="2" t="s">
        <v>306</v>
      </c>
      <c r="G54" s="3" t="s">
        <v>257</v>
      </c>
      <c r="H54" s="3" t="s">
        <v>257</v>
      </c>
      <c r="I54" s="3" t="s">
        <v>257</v>
      </c>
      <c r="J54" s="3" t="s">
        <v>257</v>
      </c>
      <c r="K54" s="3" t="s">
        <v>257</v>
      </c>
      <c r="P54" s="3" t="s">
        <v>257</v>
      </c>
      <c r="Q54" s="3" t="s">
        <v>257</v>
      </c>
      <c r="R54" s="3" t="s">
        <v>257</v>
      </c>
      <c r="S54" s="3" t="s">
        <v>257</v>
      </c>
      <c r="AF54" s="3" t="s">
        <v>272</v>
      </c>
      <c r="AG54" s="3" t="s">
        <v>272</v>
      </c>
      <c r="AH54" s="3" t="s">
        <v>272</v>
      </c>
      <c r="AO54" s="3" t="s">
        <v>272</v>
      </c>
      <c r="AP54" s="3" t="s">
        <v>272</v>
      </c>
      <c r="AQ54" s="3" t="s">
        <v>272</v>
      </c>
      <c r="AR54" s="3" t="s">
        <v>272</v>
      </c>
      <c r="AS54" s="3" t="s">
        <v>272</v>
      </c>
      <c r="AT54" s="3" t="s">
        <v>272</v>
      </c>
      <c r="AU54" s="3" t="s">
        <v>272</v>
      </c>
      <c r="BF54" s="3" t="s">
        <v>272</v>
      </c>
      <c r="BG54" s="3" t="s">
        <v>253</v>
      </c>
      <c r="BH54" s="3" t="s">
        <v>253</v>
      </c>
      <c r="BI54" s="3" t="s">
        <v>253</v>
      </c>
      <c r="BT54" s="3" t="s">
        <v>259</v>
      </c>
      <c r="BU54" s="3" t="s">
        <v>259</v>
      </c>
      <c r="BV54" s="3" t="s">
        <v>259</v>
      </c>
      <c r="BW54" s="3" t="s">
        <v>259</v>
      </c>
      <c r="BX54" s="3" t="s">
        <v>259</v>
      </c>
      <c r="BY54" s="3" t="s">
        <v>259</v>
      </c>
      <c r="BZ54" s="3" t="s">
        <v>259</v>
      </c>
      <c r="CA54" s="3" t="s">
        <v>259</v>
      </c>
      <c r="CB54" s="3" t="s">
        <v>259</v>
      </c>
      <c r="CC54" s="5"/>
      <c r="CD54" s="5"/>
      <c r="CE54" s="5"/>
      <c r="CU54" s="3" t="s">
        <v>253</v>
      </c>
      <c r="CV54" s="3" t="s">
        <v>253</v>
      </c>
      <c r="CW54" s="3" t="s">
        <v>253</v>
      </c>
      <c r="CX54" s="3" t="s">
        <v>253</v>
      </c>
      <c r="CY54" s="3" t="s">
        <v>253</v>
      </c>
      <c r="CZ54" s="3" t="s">
        <v>253</v>
      </c>
      <c r="DA54" s="3" t="s">
        <v>253</v>
      </c>
      <c r="DB54" s="3" t="s">
        <v>253</v>
      </c>
      <c r="DC54" s="3" t="s">
        <v>253</v>
      </c>
      <c r="DD54" s="3" t="s">
        <v>253</v>
      </c>
      <c r="DI54" s="3" t="s">
        <v>253</v>
      </c>
      <c r="DJ54" s="3" t="s">
        <v>253</v>
      </c>
      <c r="DK54" s="3" t="s">
        <v>253</v>
      </c>
      <c r="DL54" s="3" t="s">
        <v>253</v>
      </c>
      <c r="DM54" s="3" t="s">
        <v>253</v>
      </c>
      <c r="DN54" s="3" t="s">
        <v>253</v>
      </c>
      <c r="DO54" s="3" t="s">
        <v>253</v>
      </c>
      <c r="DP54" s="3" t="s">
        <v>253</v>
      </c>
      <c r="DQ54" s="3" t="s">
        <v>253</v>
      </c>
      <c r="DR54" s="3" t="s">
        <v>253</v>
      </c>
      <c r="DS54" s="3" t="s">
        <v>253</v>
      </c>
      <c r="DT54" s="3" t="s">
        <v>253</v>
      </c>
      <c r="DU54" s="3" t="s">
        <v>253</v>
      </c>
      <c r="DV54" s="3" t="s">
        <v>253</v>
      </c>
      <c r="DW54" s="3" t="s">
        <v>253</v>
      </c>
      <c r="DX54" s="3" t="s">
        <v>253</v>
      </c>
      <c r="DY54" s="3" t="s">
        <v>253</v>
      </c>
      <c r="DZ54" s="3" t="s">
        <v>253</v>
      </c>
      <c r="EA54" s="3" t="s">
        <v>253</v>
      </c>
      <c r="EB54" s="3" t="s">
        <v>253</v>
      </c>
    </row>
    <row r="55" spans="1:132" ht="30" customHeight="1" outlineLevel="1">
      <c r="A55" s="2" t="s">
        <v>307</v>
      </c>
      <c r="CC55" s="5"/>
      <c r="CD55" s="5"/>
      <c r="CE55" s="5"/>
      <c r="CF55" s="3" t="s">
        <v>263</v>
      </c>
      <c r="CG55" s="3" t="s">
        <v>263</v>
      </c>
      <c r="CS55" s="3" t="s">
        <v>259</v>
      </c>
      <c r="CT55" s="3" t="s">
        <v>259</v>
      </c>
      <c r="CU55" s="3" t="s">
        <v>259</v>
      </c>
      <c r="CV55" s="3" t="s">
        <v>259</v>
      </c>
      <c r="CW55" s="3" t="s">
        <v>259</v>
      </c>
      <c r="CX55" s="3" t="s">
        <v>259</v>
      </c>
      <c r="CY55" s="3" t="s">
        <v>259</v>
      </c>
      <c r="CZ55" s="3" t="s">
        <v>259</v>
      </c>
      <c r="DA55" s="3" t="s">
        <v>259</v>
      </c>
      <c r="DB55" s="3" t="s">
        <v>259</v>
      </c>
      <c r="DC55" s="3" t="s">
        <v>259</v>
      </c>
      <c r="DD55" s="3" t="s">
        <v>259</v>
      </c>
      <c r="DE55" s="3" t="s">
        <v>259</v>
      </c>
      <c r="DF55" s="3" t="s">
        <v>259</v>
      </c>
      <c r="DG55" s="3" t="s">
        <v>259</v>
      </c>
      <c r="DH55" s="3" t="s">
        <v>259</v>
      </c>
      <c r="DI55" s="3" t="s">
        <v>259</v>
      </c>
      <c r="DJ55" s="3" t="s">
        <v>259</v>
      </c>
      <c r="DK55" s="3" t="s">
        <v>259</v>
      </c>
      <c r="DL55" s="3" t="s">
        <v>259</v>
      </c>
      <c r="DM55" s="3" t="s">
        <v>259</v>
      </c>
      <c r="DN55" s="3" t="s">
        <v>259</v>
      </c>
      <c r="DO55" s="3" t="s">
        <v>259</v>
      </c>
      <c r="DP55" s="3" t="s">
        <v>259</v>
      </c>
      <c r="DQ55" s="3" t="s">
        <v>259</v>
      </c>
      <c r="DR55" s="3" t="s">
        <v>259</v>
      </c>
      <c r="DS55" s="3" t="s">
        <v>259</v>
      </c>
      <c r="DT55" s="3" t="s">
        <v>259</v>
      </c>
      <c r="DU55" s="3" t="s">
        <v>259</v>
      </c>
      <c r="DV55" s="3" t="s">
        <v>259</v>
      </c>
      <c r="DW55" s="3" t="s">
        <v>259</v>
      </c>
      <c r="DX55" s="3" t="s">
        <v>259</v>
      </c>
      <c r="DY55" s="3" t="s">
        <v>259</v>
      </c>
    </row>
    <row r="56" spans="1:132" ht="30" customHeight="1" outlineLevel="1">
      <c r="A56" s="2" t="s">
        <v>308</v>
      </c>
      <c r="G56" s="3" t="s">
        <v>257</v>
      </c>
      <c r="H56" s="3" t="s">
        <v>257</v>
      </c>
      <c r="I56" s="3" t="s">
        <v>257</v>
      </c>
      <c r="J56" s="3" t="s">
        <v>257</v>
      </c>
      <c r="K56" s="3" t="s">
        <v>257</v>
      </c>
      <c r="P56" s="3" t="s">
        <v>257</v>
      </c>
      <c r="Q56" s="3" t="s">
        <v>257</v>
      </c>
      <c r="R56" s="3" t="s">
        <v>257</v>
      </c>
      <c r="S56" s="3" t="s">
        <v>257</v>
      </c>
      <c r="AF56" s="3" t="s">
        <v>272</v>
      </c>
      <c r="AG56" s="3" t="s">
        <v>272</v>
      </c>
      <c r="AH56" s="3" t="s">
        <v>272</v>
      </c>
      <c r="AO56" s="3" t="s">
        <v>272</v>
      </c>
      <c r="AP56" s="3" t="s">
        <v>272</v>
      </c>
      <c r="AQ56" s="3" t="s">
        <v>272</v>
      </c>
      <c r="AR56" s="3" t="s">
        <v>272</v>
      </c>
      <c r="AS56" s="3" t="s">
        <v>272</v>
      </c>
      <c r="AT56" s="3" t="s">
        <v>272</v>
      </c>
      <c r="AU56" s="3" t="s">
        <v>272</v>
      </c>
      <c r="BI56" s="3" t="s">
        <v>253</v>
      </c>
      <c r="BJ56" s="3" t="s">
        <v>253</v>
      </c>
      <c r="BK56" s="3" t="s">
        <v>253</v>
      </c>
      <c r="BL56" s="3" t="s">
        <v>253</v>
      </c>
      <c r="BM56" s="3" t="s">
        <v>253</v>
      </c>
      <c r="BN56" s="3" t="s">
        <v>253</v>
      </c>
      <c r="BO56" s="3" t="s">
        <v>253</v>
      </c>
      <c r="BP56" s="3" t="s">
        <v>253</v>
      </c>
      <c r="BQ56" s="3" t="s">
        <v>253</v>
      </c>
      <c r="BR56" s="3" t="s">
        <v>253</v>
      </c>
      <c r="BS56" s="3" t="s">
        <v>253</v>
      </c>
      <c r="BT56" s="3" t="s">
        <v>253</v>
      </c>
      <c r="BU56" s="3" t="s">
        <v>253</v>
      </c>
      <c r="BV56" s="3" t="s">
        <v>253</v>
      </c>
      <c r="BW56" s="3" t="s">
        <v>253</v>
      </c>
      <c r="BX56" s="3" t="s">
        <v>259</v>
      </c>
      <c r="BY56" s="3" t="s">
        <v>259</v>
      </c>
      <c r="BZ56" s="3" t="s">
        <v>259</v>
      </c>
      <c r="CA56" s="3" t="s">
        <v>259</v>
      </c>
      <c r="CB56" s="3" t="s">
        <v>259</v>
      </c>
      <c r="CC56" s="5"/>
      <c r="CD56" s="5"/>
      <c r="CE56" s="5"/>
      <c r="CF56" s="3" t="s">
        <v>272</v>
      </c>
      <c r="CG56" s="3" t="s">
        <v>272</v>
      </c>
      <c r="CH56" s="3" t="s">
        <v>272</v>
      </c>
      <c r="CI56" s="3" t="s">
        <v>272</v>
      </c>
      <c r="CJ56" s="3" t="s">
        <v>272</v>
      </c>
      <c r="CK56" s="3" t="s">
        <v>272</v>
      </c>
      <c r="CL56" s="3" t="s">
        <v>272</v>
      </c>
      <c r="CM56" s="3" t="s">
        <v>272</v>
      </c>
      <c r="CN56" s="3" t="s">
        <v>272</v>
      </c>
      <c r="CO56" s="3" t="s">
        <v>272</v>
      </c>
      <c r="CP56" s="3" t="s">
        <v>272</v>
      </c>
      <c r="CQ56" s="3" t="s">
        <v>272</v>
      </c>
      <c r="CR56" s="3" t="s">
        <v>272</v>
      </c>
      <c r="CS56" s="3" t="s">
        <v>259</v>
      </c>
      <c r="CT56" s="3" t="s">
        <v>259</v>
      </c>
      <c r="CU56" s="3" t="s">
        <v>259</v>
      </c>
      <c r="CV56" s="3" t="s">
        <v>259</v>
      </c>
      <c r="CW56" s="3" t="s">
        <v>259</v>
      </c>
    </row>
    <row r="57" spans="1:132" ht="30" customHeight="1" outlineLevel="1">
      <c r="A57" s="2" t="s">
        <v>309</v>
      </c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O57" s="3" t="s">
        <v>259</v>
      </c>
      <c r="CP57" s="3" t="s">
        <v>259</v>
      </c>
      <c r="CQ57" s="3" t="s">
        <v>259</v>
      </c>
      <c r="CR57" s="3" t="s">
        <v>259</v>
      </c>
      <c r="CU57" s="3" t="s">
        <v>272</v>
      </c>
      <c r="CV57" s="3" t="s">
        <v>272</v>
      </c>
      <c r="CW57" s="3" t="s">
        <v>272</v>
      </c>
      <c r="CX57" s="3" t="s">
        <v>272</v>
      </c>
      <c r="CY57" s="3" t="s">
        <v>272</v>
      </c>
      <c r="CZ57" s="3" t="s">
        <v>272</v>
      </c>
      <c r="DG57" s="3" t="s">
        <v>272</v>
      </c>
      <c r="DH57" s="3" t="s">
        <v>272</v>
      </c>
      <c r="DI57" s="3" t="s">
        <v>272</v>
      </c>
      <c r="DJ57" s="3" t="s">
        <v>272</v>
      </c>
      <c r="DK57" s="3" t="s">
        <v>272</v>
      </c>
      <c r="DL57" s="3" t="s">
        <v>272</v>
      </c>
      <c r="DM57" s="3" t="s">
        <v>272</v>
      </c>
      <c r="DN57" s="3" t="s">
        <v>272</v>
      </c>
      <c r="DO57" s="3" t="s">
        <v>272</v>
      </c>
      <c r="DP57" s="3" t="s">
        <v>272</v>
      </c>
      <c r="DQ57" s="3" t="s">
        <v>272</v>
      </c>
      <c r="DR57" s="3" t="s">
        <v>272</v>
      </c>
      <c r="DS57" s="3" t="s">
        <v>272</v>
      </c>
    </row>
    <row r="58" spans="1:132" ht="30" customHeight="1" outlineLevel="1">
      <c r="A58" s="2" t="s">
        <v>310</v>
      </c>
      <c r="AF58" s="3" t="s">
        <v>257</v>
      </c>
      <c r="AG58" s="3" t="s">
        <v>257</v>
      </c>
      <c r="AH58" s="3" t="s">
        <v>257</v>
      </c>
      <c r="AI58" s="3" t="s">
        <v>257</v>
      </c>
      <c r="AJ58" s="3" t="s">
        <v>257</v>
      </c>
      <c r="AK58" s="3" t="s">
        <v>257</v>
      </c>
      <c r="AL58" s="3" t="s">
        <v>257</v>
      </c>
      <c r="AM58" s="3" t="s">
        <v>257</v>
      </c>
      <c r="AN58" s="3" t="s">
        <v>257</v>
      </c>
      <c r="AO58" s="3" t="s">
        <v>257</v>
      </c>
      <c r="AP58" s="3" t="s">
        <v>257</v>
      </c>
      <c r="AQ58" s="3" t="s">
        <v>257</v>
      </c>
      <c r="AR58" s="3" t="s">
        <v>257</v>
      </c>
      <c r="AS58" s="3" t="s">
        <v>257</v>
      </c>
      <c r="AT58" s="3" t="s">
        <v>257</v>
      </c>
      <c r="AU58" s="3" t="s">
        <v>257</v>
      </c>
      <c r="AV58" s="3" t="s">
        <v>257</v>
      </c>
      <c r="AW58" s="3" t="s">
        <v>257</v>
      </c>
      <c r="BH58" s="3" t="s">
        <v>267</v>
      </c>
      <c r="BI58" s="3" t="s">
        <v>267</v>
      </c>
      <c r="BJ58" s="3" t="s">
        <v>267</v>
      </c>
      <c r="BK58" s="3" t="s">
        <v>267</v>
      </c>
      <c r="BL58" s="3" t="s">
        <v>267</v>
      </c>
      <c r="BM58" s="3" t="s">
        <v>267</v>
      </c>
      <c r="BN58" s="3" t="s">
        <v>267</v>
      </c>
      <c r="BO58" s="3" t="s">
        <v>267</v>
      </c>
      <c r="BP58" s="3" t="s">
        <v>267</v>
      </c>
      <c r="BQ58" s="3" t="s">
        <v>267</v>
      </c>
      <c r="BR58" s="3" t="s">
        <v>267</v>
      </c>
      <c r="BS58" s="3" t="s">
        <v>267</v>
      </c>
      <c r="BT58" s="3" t="s">
        <v>267</v>
      </c>
      <c r="BU58" s="3" t="s">
        <v>267</v>
      </c>
      <c r="BV58" s="3" t="s">
        <v>267</v>
      </c>
      <c r="BW58" s="3" t="s">
        <v>267</v>
      </c>
      <c r="BX58" s="3" t="s">
        <v>267</v>
      </c>
      <c r="CC58" s="5"/>
      <c r="CD58" s="5"/>
      <c r="CE58" s="5"/>
      <c r="CF58" s="3" t="s">
        <v>267</v>
      </c>
      <c r="CG58" s="3" t="s">
        <v>267</v>
      </c>
      <c r="CH58" s="3" t="s">
        <v>267</v>
      </c>
      <c r="CI58" s="3" t="s">
        <v>267</v>
      </c>
      <c r="CJ58" s="3" t="s">
        <v>267</v>
      </c>
      <c r="CK58" s="3" t="s">
        <v>267</v>
      </c>
      <c r="CL58" s="3" t="s">
        <v>267</v>
      </c>
      <c r="CM58" s="3" t="s">
        <v>267</v>
      </c>
      <c r="CN58" s="3" t="s">
        <v>267</v>
      </c>
      <c r="CO58" s="3" t="s">
        <v>267</v>
      </c>
      <c r="CP58" s="3" t="s">
        <v>267</v>
      </c>
      <c r="CQ58" s="3" t="s">
        <v>267</v>
      </c>
      <c r="CR58" s="3" t="s">
        <v>267</v>
      </c>
      <c r="CS58" s="3" t="s">
        <v>267</v>
      </c>
      <c r="CT58" s="3" t="s">
        <v>267</v>
      </c>
      <c r="CU58" s="3" t="s">
        <v>267</v>
      </c>
      <c r="CV58" s="3" t="s">
        <v>267</v>
      </c>
      <c r="CW58" s="3" t="s">
        <v>267</v>
      </c>
      <c r="CX58" s="3" t="s">
        <v>267</v>
      </c>
      <c r="CY58" s="3" t="s">
        <v>267</v>
      </c>
      <c r="CZ58" s="3" t="s">
        <v>267</v>
      </c>
      <c r="DA58" s="3" t="s">
        <v>267</v>
      </c>
      <c r="DB58" s="3" t="s">
        <v>267</v>
      </c>
      <c r="DC58" s="3" t="s">
        <v>267</v>
      </c>
      <c r="DD58" s="3" t="s">
        <v>267</v>
      </c>
      <c r="DE58" s="3" t="s">
        <v>267</v>
      </c>
      <c r="DF58" s="3" t="s">
        <v>267</v>
      </c>
      <c r="DG58" s="3" t="s">
        <v>267</v>
      </c>
      <c r="DH58" s="3" t="s">
        <v>267</v>
      </c>
      <c r="DI58" s="3" t="s">
        <v>267</v>
      </c>
      <c r="DJ58" s="3" t="s">
        <v>267</v>
      </c>
      <c r="DK58" s="3" t="s">
        <v>267</v>
      </c>
      <c r="DL58" s="3" t="s">
        <v>267</v>
      </c>
      <c r="DM58" s="3" t="s">
        <v>267</v>
      </c>
    </row>
    <row r="59" spans="1:132" ht="30" customHeight="1" outlineLevel="1">
      <c r="A59" s="2" t="s">
        <v>311</v>
      </c>
      <c r="BD59" s="3" t="s">
        <v>261</v>
      </c>
      <c r="BE59" s="3" t="s">
        <v>261</v>
      </c>
      <c r="BF59" s="3" t="s">
        <v>261</v>
      </c>
      <c r="BG59" s="3" t="s">
        <v>261</v>
      </c>
      <c r="BH59" s="3" t="s">
        <v>261</v>
      </c>
      <c r="BI59" s="3" t="s">
        <v>261</v>
      </c>
      <c r="CC59" s="5"/>
      <c r="CD59" s="5"/>
      <c r="CE59" s="5"/>
      <c r="CF59" s="3" t="s">
        <v>261</v>
      </c>
      <c r="CG59" s="3" t="s">
        <v>261</v>
      </c>
      <c r="CH59" s="3" t="s">
        <v>261</v>
      </c>
    </row>
    <row r="60" spans="1:132" ht="30" customHeight="1" outlineLevel="1">
      <c r="A60" s="2" t="s">
        <v>312</v>
      </c>
      <c r="BH60" s="3" t="s">
        <v>267</v>
      </c>
      <c r="BI60" s="3" t="s">
        <v>267</v>
      </c>
      <c r="BJ60" s="3" t="s">
        <v>267</v>
      </c>
      <c r="BK60" s="3" t="s">
        <v>267</v>
      </c>
      <c r="BL60" s="3" t="s">
        <v>267</v>
      </c>
      <c r="BM60" s="3" t="s">
        <v>267</v>
      </c>
      <c r="BN60" s="3" t="s">
        <v>267</v>
      </c>
      <c r="BO60" s="3" t="s">
        <v>267</v>
      </c>
      <c r="BP60" s="3" t="s">
        <v>267</v>
      </c>
      <c r="BQ60" s="3" t="s">
        <v>267</v>
      </c>
      <c r="BR60" s="3" t="s">
        <v>267</v>
      </c>
      <c r="BS60" s="3" t="s">
        <v>267</v>
      </c>
      <c r="BT60" s="3" t="s">
        <v>267</v>
      </c>
      <c r="BU60" s="3" t="s">
        <v>267</v>
      </c>
      <c r="BV60" s="3" t="s">
        <v>267</v>
      </c>
      <c r="BW60" s="3" t="s">
        <v>267</v>
      </c>
      <c r="BX60" s="3" t="s">
        <v>267</v>
      </c>
      <c r="CC60" s="5"/>
      <c r="CD60" s="5"/>
      <c r="CE60" s="5"/>
      <c r="CF60" s="3" t="s">
        <v>267</v>
      </c>
      <c r="CG60" s="3" t="s">
        <v>267</v>
      </c>
      <c r="CH60" s="3" t="s">
        <v>267</v>
      </c>
      <c r="CI60" s="3" t="s">
        <v>267</v>
      </c>
      <c r="CJ60" s="3" t="s">
        <v>267</v>
      </c>
      <c r="CK60" s="3" t="s">
        <v>267</v>
      </c>
      <c r="CL60" s="3" t="s">
        <v>267</v>
      </c>
      <c r="CM60" s="3" t="s">
        <v>267</v>
      </c>
      <c r="CN60" s="3" t="s">
        <v>267</v>
      </c>
      <c r="CO60" s="3" t="s">
        <v>267</v>
      </c>
      <c r="CP60" s="3" t="s">
        <v>267</v>
      </c>
      <c r="CQ60" s="3" t="s">
        <v>267</v>
      </c>
      <c r="CR60" s="3" t="s">
        <v>267</v>
      </c>
      <c r="CS60" s="3" t="s">
        <v>267</v>
      </c>
      <c r="CT60" s="3" t="s">
        <v>267</v>
      </c>
      <c r="CU60" s="3" t="s">
        <v>267</v>
      </c>
      <c r="CV60" s="3" t="s">
        <v>267</v>
      </c>
      <c r="CW60" s="3" t="s">
        <v>267</v>
      </c>
      <c r="CX60" s="3" t="s">
        <v>267</v>
      </c>
      <c r="CY60" s="3" t="s">
        <v>267</v>
      </c>
      <c r="CZ60" s="3" t="s">
        <v>267</v>
      </c>
      <c r="DA60" s="3" t="s">
        <v>267</v>
      </c>
      <c r="DB60" s="3" t="s">
        <v>267</v>
      </c>
      <c r="DC60" s="3" t="s">
        <v>267</v>
      </c>
      <c r="DD60" s="3" t="s">
        <v>267</v>
      </c>
      <c r="DE60" s="3" t="s">
        <v>267</v>
      </c>
      <c r="DF60" s="3" t="s">
        <v>267</v>
      </c>
      <c r="DG60" s="3" t="s">
        <v>267</v>
      </c>
      <c r="DH60" s="3" t="s">
        <v>267</v>
      </c>
      <c r="DI60" s="3" t="s">
        <v>267</v>
      </c>
      <c r="DJ60" s="3" t="s">
        <v>267</v>
      </c>
    </row>
    <row r="61" spans="1:132" ht="30" customHeight="1" outlineLevel="1">
      <c r="A61" s="2" t="s">
        <v>313</v>
      </c>
      <c r="BN61" s="3" t="s">
        <v>314</v>
      </c>
      <c r="CC61" s="5"/>
      <c r="CD61" s="5"/>
      <c r="CE61" s="5"/>
      <c r="CF61" s="3" t="s">
        <v>263</v>
      </c>
      <c r="CG61" s="3" t="s">
        <v>263</v>
      </c>
      <c r="CR61" s="3" t="s">
        <v>254</v>
      </c>
      <c r="CS61" s="3" t="s">
        <v>254</v>
      </c>
      <c r="CT61" s="3" t="s">
        <v>254</v>
      </c>
      <c r="CU61" s="3" t="s">
        <v>254</v>
      </c>
      <c r="CV61" s="3" t="s">
        <v>254</v>
      </c>
      <c r="CW61" s="3" t="s">
        <v>254</v>
      </c>
      <c r="CX61" s="3" t="s">
        <v>254</v>
      </c>
    </row>
    <row r="62" spans="1:132" ht="30" customHeight="1" outlineLevel="1">
      <c r="A62" s="2" t="s">
        <v>315</v>
      </c>
      <c r="BF62" s="3" t="s">
        <v>253</v>
      </c>
      <c r="BG62" s="3" t="s">
        <v>253</v>
      </c>
      <c r="BH62" s="3" t="s">
        <v>253</v>
      </c>
      <c r="BI62" s="3" t="s">
        <v>253</v>
      </c>
      <c r="BJ62" s="3" t="s">
        <v>253</v>
      </c>
      <c r="BK62" s="3" t="s">
        <v>253</v>
      </c>
      <c r="BL62" s="3" t="s">
        <v>253</v>
      </c>
      <c r="BM62" s="3" t="s">
        <v>253</v>
      </c>
      <c r="BN62" s="3" t="s">
        <v>253</v>
      </c>
      <c r="BO62" s="3" t="s">
        <v>253</v>
      </c>
      <c r="BP62" s="3" t="s">
        <v>253</v>
      </c>
      <c r="BQ62" s="3" t="s">
        <v>253</v>
      </c>
      <c r="BR62" s="3" t="s">
        <v>253</v>
      </c>
      <c r="BS62" s="3" t="s">
        <v>253</v>
      </c>
      <c r="BT62" s="3" t="s">
        <v>253</v>
      </c>
      <c r="BU62" s="3" t="s">
        <v>253</v>
      </c>
      <c r="BW62" s="3" t="s">
        <v>253</v>
      </c>
      <c r="BX62" s="3" t="s">
        <v>253</v>
      </c>
      <c r="BY62" s="3" t="s">
        <v>253</v>
      </c>
      <c r="BZ62" s="3" t="s">
        <v>253</v>
      </c>
      <c r="CA62" s="3" t="s">
        <v>253</v>
      </c>
      <c r="CC62" s="5"/>
      <c r="CD62" s="5"/>
      <c r="CE62" s="5"/>
      <c r="CS62" s="3" t="s">
        <v>253</v>
      </c>
      <c r="CT62" s="3" t="s">
        <v>253</v>
      </c>
      <c r="CU62" s="3" t="s">
        <v>253</v>
      </c>
      <c r="CV62" s="3" t="s">
        <v>253</v>
      </c>
      <c r="CW62" s="3" t="s">
        <v>253</v>
      </c>
      <c r="CX62" s="3" t="s">
        <v>253</v>
      </c>
      <c r="CY62" s="3" t="s">
        <v>253</v>
      </c>
      <c r="CZ62" s="3" t="s">
        <v>253</v>
      </c>
      <c r="DA62" s="3" t="s">
        <v>253</v>
      </c>
      <c r="DB62" s="3" t="s">
        <v>253</v>
      </c>
      <c r="DC62" s="3" t="s">
        <v>253</v>
      </c>
      <c r="DD62" s="3" t="s">
        <v>253</v>
      </c>
      <c r="DE62" s="3" t="s">
        <v>253</v>
      </c>
      <c r="DF62" s="3" t="s">
        <v>253</v>
      </c>
      <c r="DG62" s="3" t="s">
        <v>253</v>
      </c>
      <c r="DH62" s="3" t="s">
        <v>253</v>
      </c>
      <c r="DI62" s="3" t="s">
        <v>253</v>
      </c>
      <c r="DJ62" s="3" t="s">
        <v>253</v>
      </c>
      <c r="DK62" s="3" t="s">
        <v>253</v>
      </c>
      <c r="DL62" s="3" t="s">
        <v>253</v>
      </c>
      <c r="DM62" s="3" t="s">
        <v>253</v>
      </c>
      <c r="DN62" s="3" t="s">
        <v>253</v>
      </c>
    </row>
    <row r="63" spans="1:132" ht="30" customHeight="1" outlineLevel="1">
      <c r="A63" s="2" t="s">
        <v>316</v>
      </c>
      <c r="BD63" s="3" t="s">
        <v>270</v>
      </c>
      <c r="BE63" s="3" t="s">
        <v>270</v>
      </c>
      <c r="BF63" s="3" t="s">
        <v>270</v>
      </c>
      <c r="BG63" s="3" t="s">
        <v>270</v>
      </c>
      <c r="BH63" s="3" t="s">
        <v>270</v>
      </c>
      <c r="BI63" s="3" t="s">
        <v>270</v>
      </c>
      <c r="BJ63" s="3" t="s">
        <v>270</v>
      </c>
      <c r="BK63" s="3" t="s">
        <v>270</v>
      </c>
      <c r="BL63" s="3" t="s">
        <v>270</v>
      </c>
      <c r="BM63" s="3" t="s">
        <v>270</v>
      </c>
      <c r="BN63" s="3" t="s">
        <v>270</v>
      </c>
      <c r="BO63" s="3" t="s">
        <v>270</v>
      </c>
      <c r="BP63" s="3" t="s">
        <v>270</v>
      </c>
      <c r="BS63" s="3" t="s">
        <v>270</v>
      </c>
      <c r="BT63" s="3" t="s">
        <v>270</v>
      </c>
      <c r="BU63" s="3" t="s">
        <v>270</v>
      </c>
      <c r="CC63" s="5"/>
      <c r="CD63" s="5"/>
      <c r="CE63" s="5"/>
      <c r="CF63" s="3" t="s">
        <v>270</v>
      </c>
      <c r="CG63" s="3" t="s">
        <v>270</v>
      </c>
      <c r="CH63" s="3" t="s">
        <v>270</v>
      </c>
      <c r="CI63" s="3" t="s">
        <v>270</v>
      </c>
      <c r="CJ63" s="3" t="s">
        <v>270</v>
      </c>
      <c r="CK63" s="3" t="s">
        <v>270</v>
      </c>
      <c r="CL63" s="3" t="s">
        <v>270</v>
      </c>
      <c r="CM63" s="3" t="s">
        <v>270</v>
      </c>
      <c r="CN63" s="3" t="s">
        <v>270</v>
      </c>
      <c r="CT63" s="3" t="s">
        <v>270</v>
      </c>
      <c r="CU63" s="3" t="s">
        <v>270</v>
      </c>
      <c r="CV63" s="3" t="s">
        <v>270</v>
      </c>
      <c r="CW63" s="3" t="s">
        <v>270</v>
      </c>
      <c r="CX63" s="3" t="s">
        <v>270</v>
      </c>
      <c r="CY63" s="3" t="s">
        <v>270</v>
      </c>
      <c r="CZ63" s="3" t="s">
        <v>270</v>
      </c>
      <c r="DA63" s="3" t="s">
        <v>270</v>
      </c>
      <c r="DB63" s="3" t="s">
        <v>270</v>
      </c>
      <c r="DC63" s="3" t="s">
        <v>270</v>
      </c>
      <c r="DD63" s="3" t="s">
        <v>270</v>
      </c>
    </row>
    <row r="64" spans="1:132" ht="30" customHeight="1" outlineLevel="1">
      <c r="A64" s="2" t="s">
        <v>317</v>
      </c>
      <c r="CC64" s="5"/>
      <c r="CD64" s="5"/>
      <c r="CE64" s="5"/>
      <c r="DF64" s="3" t="s">
        <v>254</v>
      </c>
      <c r="DG64" s="3" t="s">
        <v>254</v>
      </c>
      <c r="DH64" s="3" t="s">
        <v>254</v>
      </c>
      <c r="DI64" s="3" t="s">
        <v>254</v>
      </c>
      <c r="DJ64" s="3" t="s">
        <v>254</v>
      </c>
      <c r="DK64" s="3" t="s">
        <v>254</v>
      </c>
      <c r="DL64" s="3" t="s">
        <v>254</v>
      </c>
      <c r="DM64" s="3" t="s">
        <v>254</v>
      </c>
      <c r="DN64" s="3" t="s">
        <v>254</v>
      </c>
      <c r="DO64" s="3" t="s">
        <v>254</v>
      </c>
    </row>
    <row r="65" spans="1:131" ht="30" customHeight="1">
      <c r="CC65" s="5"/>
      <c r="CD65" s="5"/>
      <c r="CE65" s="5"/>
    </row>
    <row r="66" spans="1:131" s="5" customFormat="1" ht="30" customHeight="1">
      <c r="A66" s="4" t="s">
        <v>318</v>
      </c>
      <c r="BC66" s="42">
        <f>COUNTA(BC67:BC77)/9</f>
        <v>0.1111111111111111</v>
      </c>
      <c r="BD66" s="42">
        <f t="shared" ref="BD66:BS66" si="41">COUNTA(BD67:BD77)/9</f>
        <v>0.77777777777777779</v>
      </c>
      <c r="BE66" s="42">
        <f t="shared" si="41"/>
        <v>0.66666666666666663</v>
      </c>
      <c r="BF66" s="42">
        <f t="shared" si="41"/>
        <v>0.88888888888888884</v>
      </c>
      <c r="BG66" s="42">
        <f t="shared" si="41"/>
        <v>0.88888888888888884</v>
      </c>
      <c r="BH66" s="42">
        <f t="shared" si="41"/>
        <v>1</v>
      </c>
      <c r="BI66" s="42">
        <f t="shared" si="41"/>
        <v>0.66666666666666663</v>
      </c>
      <c r="BJ66" s="42">
        <f t="shared" si="41"/>
        <v>0.66666666666666663</v>
      </c>
      <c r="BK66" s="42">
        <f t="shared" si="41"/>
        <v>0.77777777777777779</v>
      </c>
      <c r="BL66" s="42">
        <f t="shared" si="41"/>
        <v>0.88888888888888884</v>
      </c>
      <c r="BM66" s="42">
        <f t="shared" si="41"/>
        <v>0.77777777777777779</v>
      </c>
      <c r="BN66" s="42">
        <f t="shared" si="41"/>
        <v>0.66666666666666663</v>
      </c>
      <c r="BO66" s="42">
        <f t="shared" si="41"/>
        <v>0.44444444444444442</v>
      </c>
      <c r="BP66" s="42">
        <f t="shared" si="41"/>
        <v>0.55555555555555558</v>
      </c>
      <c r="BQ66" s="42">
        <f t="shared" si="41"/>
        <v>0.55555555555555558</v>
      </c>
      <c r="BR66" s="42">
        <f t="shared" si="41"/>
        <v>0.66666666666666663</v>
      </c>
      <c r="BS66" s="42">
        <f t="shared" si="41"/>
        <v>0.77777777777777779</v>
      </c>
      <c r="BT66" s="42">
        <f>COUNTA(BT67:BT77)/7</f>
        <v>1</v>
      </c>
      <c r="BU66" s="42">
        <f t="shared" ref="BU66:CB66" si="42">COUNTA(BU67:BU77)/7</f>
        <v>1.1428571428571428</v>
      </c>
      <c r="BV66" s="42">
        <f t="shared" si="42"/>
        <v>1</v>
      </c>
      <c r="BW66" s="42">
        <f t="shared" si="42"/>
        <v>0.7142857142857143</v>
      </c>
      <c r="BX66" s="42">
        <f t="shared" si="42"/>
        <v>0.5714285714285714</v>
      </c>
      <c r="BY66" s="42">
        <f t="shared" si="42"/>
        <v>0.5714285714285714</v>
      </c>
      <c r="BZ66" s="42">
        <f t="shared" si="42"/>
        <v>0.5714285714285714</v>
      </c>
      <c r="CA66" s="42">
        <f t="shared" si="42"/>
        <v>0.5714285714285714</v>
      </c>
      <c r="CB66" s="42">
        <f t="shared" si="42"/>
        <v>0.5714285714285714</v>
      </c>
      <c r="CC66" s="42"/>
      <c r="CD66" s="42"/>
      <c r="CE66" s="42"/>
      <c r="CF66" s="42">
        <f t="shared" ref="CF66:EA66" si="43">COUNTA(CF67:CF77)/10</f>
        <v>0.8</v>
      </c>
      <c r="CG66" s="42">
        <f t="shared" si="43"/>
        <v>0.7</v>
      </c>
      <c r="CH66" s="42">
        <f t="shared" si="43"/>
        <v>0.7</v>
      </c>
      <c r="CI66" s="42">
        <f t="shared" si="43"/>
        <v>0.5</v>
      </c>
      <c r="CJ66" s="42">
        <f t="shared" si="43"/>
        <v>0.6</v>
      </c>
      <c r="CK66" s="42">
        <f t="shared" si="43"/>
        <v>0.9</v>
      </c>
      <c r="CL66" s="42">
        <f t="shared" si="43"/>
        <v>0.9</v>
      </c>
      <c r="CM66" s="42">
        <f t="shared" si="43"/>
        <v>0.9</v>
      </c>
      <c r="CN66" s="42">
        <f t="shared" si="43"/>
        <v>0.9</v>
      </c>
      <c r="CO66" s="42">
        <f t="shared" si="43"/>
        <v>0.9</v>
      </c>
      <c r="CP66" s="42">
        <f t="shared" si="43"/>
        <v>0.9</v>
      </c>
      <c r="CQ66" s="42">
        <f t="shared" si="43"/>
        <v>0.7</v>
      </c>
      <c r="CR66" s="42">
        <f t="shared" si="43"/>
        <v>0.8</v>
      </c>
      <c r="CS66" s="42">
        <f t="shared" si="43"/>
        <v>0.9</v>
      </c>
      <c r="CT66" s="42">
        <f>COUNTA(CT67:CT77)/10</f>
        <v>0.7</v>
      </c>
      <c r="CU66" s="42">
        <f>COUNTA(CU67:CU77)/10</f>
        <v>0.9</v>
      </c>
      <c r="CV66" s="42">
        <f>COUNTA(CV67:CV77)/10</f>
        <v>0.9</v>
      </c>
      <c r="CW66" s="42">
        <f t="shared" si="43"/>
        <v>1</v>
      </c>
      <c r="CX66" s="42">
        <f t="shared" si="43"/>
        <v>0.8</v>
      </c>
      <c r="CY66" s="42">
        <f t="shared" si="43"/>
        <v>0.9</v>
      </c>
      <c r="CZ66" s="42">
        <f t="shared" si="43"/>
        <v>0.9</v>
      </c>
      <c r="DA66" s="42">
        <f t="shared" si="43"/>
        <v>0</v>
      </c>
      <c r="DB66" s="42">
        <f t="shared" si="43"/>
        <v>0</v>
      </c>
      <c r="DC66" s="42">
        <f t="shared" si="43"/>
        <v>0.9</v>
      </c>
      <c r="DD66" s="42">
        <f t="shared" si="43"/>
        <v>0.8</v>
      </c>
      <c r="DE66" s="42">
        <f t="shared" si="43"/>
        <v>0.8</v>
      </c>
      <c r="DF66" s="42">
        <f t="shared" si="43"/>
        <v>0.9</v>
      </c>
      <c r="DG66" s="42">
        <f t="shared" si="43"/>
        <v>0.8</v>
      </c>
      <c r="DH66" s="42">
        <f t="shared" si="43"/>
        <v>0.9</v>
      </c>
      <c r="DI66" s="42">
        <f t="shared" si="43"/>
        <v>0.9</v>
      </c>
      <c r="DJ66" s="42">
        <f t="shared" si="43"/>
        <v>0.8</v>
      </c>
      <c r="DK66" s="42">
        <f t="shared" si="43"/>
        <v>0.6</v>
      </c>
      <c r="DL66" s="42">
        <f t="shared" si="43"/>
        <v>0.6</v>
      </c>
      <c r="DM66" s="42">
        <f t="shared" si="43"/>
        <v>0.5</v>
      </c>
      <c r="DN66" s="42">
        <f t="shared" si="43"/>
        <v>0.4</v>
      </c>
      <c r="DO66" s="42">
        <f t="shared" si="43"/>
        <v>0.4</v>
      </c>
      <c r="DP66" s="42">
        <f t="shared" si="43"/>
        <v>0.3</v>
      </c>
      <c r="DQ66" s="42">
        <f t="shared" si="43"/>
        <v>0.1</v>
      </c>
      <c r="DR66" s="42">
        <f t="shared" si="43"/>
        <v>0.1</v>
      </c>
      <c r="DS66" s="42">
        <f t="shared" si="43"/>
        <v>0.1</v>
      </c>
      <c r="DT66" s="42">
        <f t="shared" si="43"/>
        <v>0</v>
      </c>
      <c r="DU66" s="42">
        <f t="shared" si="43"/>
        <v>0</v>
      </c>
      <c r="DV66" s="42">
        <f t="shared" si="43"/>
        <v>0</v>
      </c>
      <c r="DW66" s="42">
        <f t="shared" si="43"/>
        <v>0</v>
      </c>
      <c r="DX66" s="42">
        <f t="shared" si="43"/>
        <v>0</v>
      </c>
      <c r="DY66" s="42">
        <f t="shared" si="43"/>
        <v>0</v>
      </c>
      <c r="DZ66" s="42">
        <f t="shared" si="43"/>
        <v>0</v>
      </c>
      <c r="EA66" s="42">
        <f t="shared" si="43"/>
        <v>0</v>
      </c>
    </row>
    <row r="67" spans="1:131" ht="30" customHeight="1" outlineLevel="1">
      <c r="A67" s="2">
        <v>1211</v>
      </c>
      <c r="BD67" s="3" t="s">
        <v>257</v>
      </c>
      <c r="BE67" s="3" t="s">
        <v>257</v>
      </c>
      <c r="BF67" s="3" t="s">
        <v>257</v>
      </c>
      <c r="BG67" s="3" t="s">
        <v>257</v>
      </c>
      <c r="BH67" s="3" t="s">
        <v>257</v>
      </c>
      <c r="BI67" s="3" t="s">
        <v>257</v>
      </c>
      <c r="BJ67" s="3" t="s">
        <v>257</v>
      </c>
      <c r="BK67" s="3" t="s">
        <v>257</v>
      </c>
      <c r="BL67" s="3" t="s">
        <v>257</v>
      </c>
      <c r="BM67" s="3" t="s">
        <v>257</v>
      </c>
      <c r="BN67" s="3" t="s">
        <v>257</v>
      </c>
      <c r="BR67" s="3" t="s">
        <v>257</v>
      </c>
      <c r="BS67" s="3" t="s">
        <v>257</v>
      </c>
      <c r="BT67" s="3" t="s">
        <v>257</v>
      </c>
      <c r="BU67" s="3" t="s">
        <v>257</v>
      </c>
      <c r="BV67" s="3" t="s">
        <v>257</v>
      </c>
      <c r="BW67" s="3" t="s">
        <v>257</v>
      </c>
      <c r="BX67" s="3" t="s">
        <v>257</v>
      </c>
      <c r="BY67" s="3" t="s">
        <v>257</v>
      </c>
      <c r="CC67" s="5"/>
      <c r="CD67" s="5"/>
      <c r="CE67" s="5"/>
      <c r="CG67" s="3" t="s">
        <v>268</v>
      </c>
      <c r="CJ67" s="3" t="s">
        <v>268</v>
      </c>
      <c r="CO67" s="3" t="s">
        <v>268</v>
      </c>
      <c r="CP67" s="3" t="s">
        <v>268</v>
      </c>
      <c r="CQ67" s="3" t="s">
        <v>268</v>
      </c>
      <c r="CR67" s="3" t="s">
        <v>268</v>
      </c>
      <c r="CS67" s="3" t="s">
        <v>268</v>
      </c>
      <c r="CU67" s="3" t="s">
        <v>268</v>
      </c>
      <c r="CV67" s="3" t="s">
        <v>268</v>
      </c>
      <c r="CW67" s="3" t="s">
        <v>268</v>
      </c>
      <c r="CX67" s="3" t="s">
        <v>268</v>
      </c>
      <c r="CY67" s="3" t="s">
        <v>268</v>
      </c>
      <c r="CZ67" s="3" t="s">
        <v>268</v>
      </c>
      <c r="DC67" s="3" t="s">
        <v>268</v>
      </c>
      <c r="DD67" s="3" t="s">
        <v>268</v>
      </c>
      <c r="DE67" s="3" t="s">
        <v>268</v>
      </c>
      <c r="DF67" s="3" t="s">
        <v>268</v>
      </c>
      <c r="DG67" s="3" t="s">
        <v>268</v>
      </c>
      <c r="DH67" s="3" t="s">
        <v>268</v>
      </c>
      <c r="DI67" s="3" t="s">
        <v>268</v>
      </c>
      <c r="DJ67" s="3" t="s">
        <v>268</v>
      </c>
      <c r="DK67" s="3" t="s">
        <v>268</v>
      </c>
      <c r="DL67" s="3" t="s">
        <v>268</v>
      </c>
      <c r="DM67" s="3" t="s">
        <v>268</v>
      </c>
      <c r="DN67" s="3" t="s">
        <v>268</v>
      </c>
      <c r="DO67" s="3" t="s">
        <v>268</v>
      </c>
      <c r="DP67" s="3" t="s">
        <v>268</v>
      </c>
    </row>
    <row r="68" spans="1:131" ht="30" customHeight="1" outlineLevel="1">
      <c r="A68" s="2">
        <v>1212</v>
      </c>
      <c r="BC68" s="3" t="s">
        <v>272</v>
      </c>
      <c r="BD68" s="3" t="s">
        <v>272</v>
      </c>
      <c r="BE68" s="3" t="s">
        <v>272</v>
      </c>
      <c r="BF68" s="3" t="s">
        <v>272</v>
      </c>
      <c r="BG68" s="3" t="s">
        <v>272</v>
      </c>
      <c r="BH68" s="3" t="s">
        <v>272</v>
      </c>
      <c r="BL68" s="3" t="s">
        <v>277</v>
      </c>
      <c r="BM68" s="3" t="s">
        <v>277</v>
      </c>
      <c r="BN68" s="3" t="s">
        <v>277</v>
      </c>
      <c r="BO68" s="3" t="s">
        <v>277</v>
      </c>
      <c r="BP68" s="3" t="s">
        <v>277</v>
      </c>
      <c r="BQ68" s="3" t="s">
        <v>277</v>
      </c>
      <c r="BR68" s="3" t="s">
        <v>277</v>
      </c>
      <c r="BS68" s="3" t="s">
        <v>277</v>
      </c>
      <c r="BT68" s="3" t="s">
        <v>277</v>
      </c>
      <c r="BU68" s="3" t="s">
        <v>277</v>
      </c>
      <c r="BV68" s="3" t="s">
        <v>277</v>
      </c>
      <c r="CC68" s="5"/>
      <c r="CD68" s="5"/>
      <c r="CE68" s="5"/>
      <c r="CF68" s="3" t="s">
        <v>277</v>
      </c>
      <c r="CG68" s="3" t="s">
        <v>277</v>
      </c>
      <c r="CH68" s="3" t="s">
        <v>277</v>
      </c>
      <c r="CK68" s="3" t="s">
        <v>277</v>
      </c>
      <c r="CL68" s="3" t="s">
        <v>277</v>
      </c>
      <c r="CM68" s="3" t="s">
        <v>277</v>
      </c>
      <c r="CN68" s="3" t="s">
        <v>277</v>
      </c>
      <c r="CO68" s="3" t="s">
        <v>277</v>
      </c>
      <c r="CP68" s="3" t="s">
        <v>277</v>
      </c>
      <c r="CU68" s="3" t="s">
        <v>272</v>
      </c>
      <c r="CV68" s="3" t="s">
        <v>272</v>
      </c>
      <c r="CW68" s="3" t="s">
        <v>272</v>
      </c>
      <c r="CX68" s="3" t="s">
        <v>272</v>
      </c>
      <c r="CY68" s="3" t="s">
        <v>272</v>
      </c>
      <c r="CZ68" s="3" t="s">
        <v>272</v>
      </c>
      <c r="DC68" s="3" t="s">
        <v>272</v>
      </c>
      <c r="DD68" s="3" t="s">
        <v>272</v>
      </c>
      <c r="DE68" s="3" t="s">
        <v>272</v>
      </c>
      <c r="DF68" s="3" t="s">
        <v>272</v>
      </c>
      <c r="DG68" s="3" t="s">
        <v>272</v>
      </c>
      <c r="DH68" s="3" t="s">
        <v>272</v>
      </c>
      <c r="DI68" s="3" t="s">
        <v>272</v>
      </c>
      <c r="DJ68" s="3" t="s">
        <v>272</v>
      </c>
      <c r="DK68" s="3" t="s">
        <v>272</v>
      </c>
      <c r="DL68" s="3" t="s">
        <v>272</v>
      </c>
      <c r="DM68" s="3" t="s">
        <v>272</v>
      </c>
      <c r="DN68" s="3" t="s">
        <v>272</v>
      </c>
      <c r="DO68" s="3" t="s">
        <v>272</v>
      </c>
      <c r="DP68" s="3" t="s">
        <v>272</v>
      </c>
      <c r="DQ68" s="3" t="s">
        <v>272</v>
      </c>
      <c r="DR68" s="3" t="s">
        <v>272</v>
      </c>
      <c r="DS68" s="3" t="s">
        <v>272</v>
      </c>
    </row>
    <row r="69" spans="1:131" ht="30" customHeight="1" outlineLevel="1">
      <c r="A69" s="2">
        <v>1213</v>
      </c>
      <c r="BD69" s="3" t="s">
        <v>261</v>
      </c>
      <c r="BE69" s="3" t="s">
        <v>261</v>
      </c>
      <c r="BF69" s="3" t="s">
        <v>261</v>
      </c>
      <c r="BG69" s="3" t="s">
        <v>261</v>
      </c>
      <c r="BH69" s="3" t="s">
        <v>261</v>
      </c>
      <c r="BI69" s="3" t="s">
        <v>261</v>
      </c>
      <c r="CC69" s="5"/>
      <c r="CD69" s="5"/>
      <c r="CE69" s="5"/>
      <c r="CF69" s="3" t="s">
        <v>254</v>
      </c>
      <c r="CG69" s="3" t="s">
        <v>254</v>
      </c>
      <c r="CH69" s="3" t="s">
        <v>254</v>
      </c>
      <c r="CI69" s="3" t="s">
        <v>254</v>
      </c>
      <c r="CJ69" s="3" t="s">
        <v>254</v>
      </c>
      <c r="CK69" s="3" t="s">
        <v>254</v>
      </c>
      <c r="CL69" s="3" t="s">
        <v>254</v>
      </c>
      <c r="CM69" s="3" t="s">
        <v>254</v>
      </c>
      <c r="CN69" s="3" t="s">
        <v>254</v>
      </c>
      <c r="CO69" s="3" t="s">
        <v>254</v>
      </c>
      <c r="CP69" s="3" t="s">
        <v>254</v>
      </c>
      <c r="CQ69" s="3" t="s">
        <v>254</v>
      </c>
      <c r="DC69" s="3" t="s">
        <v>268</v>
      </c>
      <c r="DD69" s="3" t="s">
        <v>268</v>
      </c>
      <c r="DE69" s="3" t="s">
        <v>268</v>
      </c>
      <c r="DF69" s="3" t="s">
        <v>268</v>
      </c>
      <c r="DG69" s="3" t="s">
        <v>268</v>
      </c>
      <c r="DH69" s="3" t="s">
        <v>268</v>
      </c>
      <c r="DI69" s="3" t="s">
        <v>268</v>
      </c>
      <c r="DJ69" s="3" t="s">
        <v>268</v>
      </c>
    </row>
    <row r="70" spans="1:131" ht="30" customHeight="1" outlineLevel="1">
      <c r="A70" s="2">
        <v>1214</v>
      </c>
      <c r="BD70" s="3" t="s">
        <v>257</v>
      </c>
      <c r="BE70" s="3" t="s">
        <v>257</v>
      </c>
      <c r="BF70" s="3" t="s">
        <v>257</v>
      </c>
      <c r="BG70" s="3" t="s">
        <v>257</v>
      </c>
      <c r="BH70" s="3" t="s">
        <v>257</v>
      </c>
      <c r="BI70" s="3" t="s">
        <v>257</v>
      </c>
      <c r="BJ70" s="3" t="s">
        <v>257</v>
      </c>
      <c r="BK70" s="3" t="s">
        <v>257</v>
      </c>
      <c r="BL70" s="3" t="s">
        <v>257</v>
      </c>
      <c r="BM70" s="3" t="s">
        <v>257</v>
      </c>
      <c r="BN70" s="3" t="s">
        <v>257</v>
      </c>
      <c r="BS70" s="3" t="s">
        <v>257</v>
      </c>
      <c r="BT70" s="3" t="s">
        <v>257</v>
      </c>
      <c r="BU70" s="3" t="s">
        <v>257</v>
      </c>
      <c r="BV70" s="3" t="s">
        <v>257</v>
      </c>
      <c r="BW70" s="3" t="s">
        <v>257</v>
      </c>
      <c r="BX70" s="3" t="s">
        <v>277</v>
      </c>
      <c r="BY70" s="3" t="s">
        <v>277</v>
      </c>
      <c r="BZ70" s="3" t="s">
        <v>277</v>
      </c>
      <c r="CA70" s="3" t="s">
        <v>277</v>
      </c>
      <c r="CB70" s="3" t="s">
        <v>277</v>
      </c>
      <c r="CC70" s="5"/>
      <c r="CD70" s="5"/>
      <c r="CE70" s="5"/>
      <c r="CK70" s="3" t="s">
        <v>277</v>
      </c>
      <c r="CL70" s="3" t="s">
        <v>277</v>
      </c>
      <c r="CM70" s="3" t="s">
        <v>277</v>
      </c>
      <c r="CN70" s="3" t="s">
        <v>277</v>
      </c>
      <c r="CO70" s="3" t="s">
        <v>319</v>
      </c>
      <c r="CP70" s="3" t="s">
        <v>268</v>
      </c>
      <c r="CQ70" s="3" t="s">
        <v>268</v>
      </c>
      <c r="CR70" s="3" t="s">
        <v>268</v>
      </c>
      <c r="CS70" s="3" t="s">
        <v>268</v>
      </c>
      <c r="CU70" s="3" t="s">
        <v>268</v>
      </c>
      <c r="CV70" s="3" t="s">
        <v>268</v>
      </c>
      <c r="CW70" s="3" t="s">
        <v>268</v>
      </c>
      <c r="CX70" s="3" t="s">
        <v>268</v>
      </c>
      <c r="CY70" s="3" t="s">
        <v>268</v>
      </c>
      <c r="CZ70" s="3" t="s">
        <v>268</v>
      </c>
      <c r="DC70" s="3" t="s">
        <v>268</v>
      </c>
      <c r="DD70" s="3" t="s">
        <v>268</v>
      </c>
      <c r="DE70" s="3" t="s">
        <v>268</v>
      </c>
      <c r="DF70" s="3" t="s">
        <v>268</v>
      </c>
      <c r="DG70" s="3" t="s">
        <v>268</v>
      </c>
      <c r="DH70" s="3" t="s">
        <v>268</v>
      </c>
      <c r="DI70" s="3" t="s">
        <v>268</v>
      </c>
      <c r="DJ70" s="3" t="s">
        <v>268</v>
      </c>
      <c r="DK70" s="3" t="s">
        <v>268</v>
      </c>
      <c r="DL70" s="3" t="s">
        <v>268</v>
      </c>
      <c r="DM70" s="3" t="s">
        <v>268</v>
      </c>
      <c r="DN70" s="3" t="s">
        <v>268</v>
      </c>
      <c r="DO70" s="3" t="s">
        <v>268</v>
      </c>
      <c r="DP70" s="3" t="s">
        <v>268</v>
      </c>
    </row>
    <row r="71" spans="1:131" ht="30" customHeight="1" outlineLevel="1">
      <c r="A71" s="2">
        <v>1215</v>
      </c>
      <c r="BH71" s="3" t="s">
        <v>267</v>
      </c>
      <c r="BI71" s="3" t="s">
        <v>267</v>
      </c>
      <c r="BJ71" s="3" t="s">
        <v>267</v>
      </c>
      <c r="BK71" s="3" t="s">
        <v>267</v>
      </c>
      <c r="BL71" s="3" t="s">
        <v>267</v>
      </c>
      <c r="BM71" s="3" t="s">
        <v>267</v>
      </c>
      <c r="BN71" s="3" t="s">
        <v>267</v>
      </c>
      <c r="BO71" s="3" t="s">
        <v>267</v>
      </c>
      <c r="BP71" s="3" t="s">
        <v>267</v>
      </c>
      <c r="BQ71" s="3" t="s">
        <v>267</v>
      </c>
      <c r="BR71" s="3" t="s">
        <v>267</v>
      </c>
      <c r="CC71" s="5"/>
      <c r="CD71" s="5"/>
      <c r="CE71" s="5"/>
      <c r="CF71" s="3" t="s">
        <v>267</v>
      </c>
      <c r="CG71" s="3" t="s">
        <v>267</v>
      </c>
      <c r="CH71" s="3" t="s">
        <v>267</v>
      </c>
      <c r="CI71" s="3" t="s">
        <v>267</v>
      </c>
      <c r="CJ71" s="3" t="s">
        <v>267</v>
      </c>
      <c r="CK71" s="3" t="s">
        <v>267</v>
      </c>
      <c r="CL71" s="3" t="s">
        <v>267</v>
      </c>
      <c r="CM71" s="3" t="s">
        <v>267</v>
      </c>
      <c r="CN71" s="3" t="s">
        <v>267</v>
      </c>
      <c r="CO71" s="3" t="s">
        <v>267</v>
      </c>
      <c r="CP71" s="3" t="s">
        <v>267</v>
      </c>
      <c r="CQ71" s="3" t="s">
        <v>267</v>
      </c>
      <c r="CR71" s="3" t="s">
        <v>267</v>
      </c>
      <c r="CS71" s="3" t="s">
        <v>267</v>
      </c>
      <c r="CT71" s="3" t="s">
        <v>267</v>
      </c>
      <c r="CU71" s="3" t="s">
        <v>267</v>
      </c>
      <c r="CV71" s="3" t="s">
        <v>267</v>
      </c>
      <c r="CW71" s="3" t="s">
        <v>267</v>
      </c>
      <c r="CX71" s="3" t="s">
        <v>267</v>
      </c>
      <c r="CY71" s="3" t="s">
        <v>267</v>
      </c>
      <c r="CZ71" s="3" t="s">
        <v>267</v>
      </c>
      <c r="DC71" s="3" t="s">
        <v>267</v>
      </c>
      <c r="DD71" s="3" t="s">
        <v>267</v>
      </c>
      <c r="DE71" s="3" t="s">
        <v>267</v>
      </c>
      <c r="DF71" s="3" t="s">
        <v>267</v>
      </c>
      <c r="DG71" s="3" t="s">
        <v>267</v>
      </c>
      <c r="DH71" s="3" t="s">
        <v>267</v>
      </c>
      <c r="DI71" s="3" t="s">
        <v>267</v>
      </c>
      <c r="DJ71" s="3" t="s">
        <v>267</v>
      </c>
      <c r="DK71" s="3" t="s">
        <v>267</v>
      </c>
      <c r="DL71" s="3" t="s">
        <v>267</v>
      </c>
      <c r="DM71" s="3" t="s">
        <v>267</v>
      </c>
    </row>
    <row r="72" spans="1:131" ht="30" customHeight="1" outlineLevel="1">
      <c r="A72" s="2">
        <v>1233</v>
      </c>
      <c r="BU72" s="3" t="s">
        <v>257</v>
      </c>
      <c r="BV72" s="3" t="s">
        <v>272</v>
      </c>
      <c r="BW72" s="3" t="s">
        <v>257</v>
      </c>
      <c r="BZ72" s="3" t="s">
        <v>277</v>
      </c>
      <c r="CA72" s="3" t="s">
        <v>259</v>
      </c>
      <c r="CB72" s="3" t="s">
        <v>277</v>
      </c>
      <c r="CC72" s="5"/>
      <c r="CD72" s="5"/>
      <c r="CE72" s="5"/>
      <c r="CH72" s="3" t="s">
        <v>277</v>
      </c>
      <c r="CK72" s="3" t="s">
        <v>254</v>
      </c>
      <c r="CL72" s="3" t="s">
        <v>277</v>
      </c>
      <c r="CM72" s="3" t="s">
        <v>267</v>
      </c>
      <c r="CN72" s="3" t="s">
        <v>277</v>
      </c>
      <c r="CO72" s="3" t="s">
        <v>267</v>
      </c>
      <c r="CP72" s="3" t="s">
        <v>277</v>
      </c>
      <c r="CR72" s="3" t="s">
        <v>268</v>
      </c>
      <c r="CS72" s="3" t="s">
        <v>272</v>
      </c>
      <c r="CT72" s="3" t="s">
        <v>259</v>
      </c>
      <c r="CV72" s="3" t="s">
        <v>267</v>
      </c>
      <c r="CW72" s="3" t="s">
        <v>259</v>
      </c>
      <c r="CY72" s="3" t="s">
        <v>268</v>
      </c>
      <c r="CZ72" s="3" t="s">
        <v>267</v>
      </c>
      <c r="DC72" s="3" t="s">
        <v>267</v>
      </c>
      <c r="DF72" s="3" t="s">
        <v>259</v>
      </c>
      <c r="DH72" s="3" t="s">
        <v>267</v>
      </c>
      <c r="DI72" s="3" t="s">
        <v>268</v>
      </c>
      <c r="DJ72" s="3" t="s">
        <v>320</v>
      </c>
      <c r="DK72" s="3" t="s">
        <v>272</v>
      </c>
      <c r="DL72" s="3" t="s">
        <v>259</v>
      </c>
      <c r="DM72" s="3" t="s">
        <v>267</v>
      </c>
      <c r="DN72" s="3" t="s">
        <v>268</v>
      </c>
      <c r="DO72" s="3" t="s">
        <v>268</v>
      </c>
    </row>
    <row r="73" spans="1:131" ht="30" customHeight="1" outlineLevel="1">
      <c r="A73" s="2">
        <v>1241</v>
      </c>
      <c r="BD73" s="3" t="s">
        <v>257</v>
      </c>
      <c r="BE73" s="3" t="s">
        <v>257</v>
      </c>
      <c r="BF73" s="3" t="s">
        <v>257</v>
      </c>
      <c r="BG73" s="3" t="s">
        <v>257</v>
      </c>
      <c r="BH73" s="3" t="s">
        <v>257</v>
      </c>
      <c r="BK73" s="3" t="s">
        <v>321</v>
      </c>
      <c r="BL73" s="3" t="s">
        <v>322</v>
      </c>
      <c r="CC73" s="5"/>
      <c r="CD73" s="5"/>
      <c r="CE73" s="5"/>
      <c r="CF73" s="3" t="s">
        <v>263</v>
      </c>
      <c r="CK73" s="3" t="s">
        <v>277</v>
      </c>
      <c r="CL73" s="3" t="s">
        <v>277</v>
      </c>
      <c r="CM73" s="3" t="s">
        <v>277</v>
      </c>
      <c r="CN73" s="3" t="s">
        <v>268</v>
      </c>
      <c r="CO73" s="3" t="s">
        <v>268</v>
      </c>
      <c r="CS73" s="3" t="s">
        <v>259</v>
      </c>
      <c r="CT73" s="3" t="s">
        <v>259</v>
      </c>
      <c r="CU73" s="3" t="s">
        <v>259</v>
      </c>
      <c r="CV73" s="3" t="s">
        <v>259</v>
      </c>
      <c r="CW73" s="3" t="s">
        <v>259</v>
      </c>
      <c r="CX73" s="3" t="s">
        <v>259</v>
      </c>
      <c r="CY73" s="3" t="s">
        <v>259</v>
      </c>
      <c r="CZ73" s="3" t="s">
        <v>259</v>
      </c>
    </row>
    <row r="74" spans="1:131" ht="30" customHeight="1" outlineLevel="1">
      <c r="A74" s="2">
        <v>1242</v>
      </c>
      <c r="BD74" s="3" t="s">
        <v>270</v>
      </c>
      <c r="BE74" s="3" t="s">
        <v>270</v>
      </c>
      <c r="BF74" s="3" t="s">
        <v>270</v>
      </c>
      <c r="BG74" s="3" t="s">
        <v>270</v>
      </c>
      <c r="BH74" s="3" t="s">
        <v>270</v>
      </c>
      <c r="BI74" s="3" t="s">
        <v>270</v>
      </c>
      <c r="BJ74" s="3" t="s">
        <v>270</v>
      </c>
      <c r="BK74" s="3" t="s">
        <v>270</v>
      </c>
      <c r="BL74" s="3" t="s">
        <v>270</v>
      </c>
      <c r="BM74" s="3" t="s">
        <v>270</v>
      </c>
      <c r="BN74" s="3" t="s">
        <v>270</v>
      </c>
      <c r="BO74" s="3" t="s">
        <v>270</v>
      </c>
      <c r="BP74" s="3" t="s">
        <v>270</v>
      </c>
      <c r="BQ74" s="3" t="s">
        <v>270</v>
      </c>
      <c r="BR74" s="3" t="s">
        <v>270</v>
      </c>
      <c r="BS74" s="3" t="s">
        <v>270</v>
      </c>
      <c r="BT74" s="3" t="s">
        <v>270</v>
      </c>
      <c r="BU74" s="3" t="s">
        <v>270</v>
      </c>
      <c r="BV74" s="5"/>
      <c r="BW74" s="5"/>
      <c r="BX74" s="5"/>
      <c r="BY74" s="5"/>
      <c r="BZ74" s="5"/>
      <c r="CA74" s="3" t="s">
        <v>270</v>
      </c>
      <c r="CB74" s="3" t="s">
        <v>270</v>
      </c>
      <c r="CC74" s="5"/>
      <c r="CD74" s="5"/>
      <c r="CE74" s="5"/>
      <c r="CF74" s="3" t="s">
        <v>270</v>
      </c>
      <c r="CG74" s="3" t="s">
        <v>270</v>
      </c>
      <c r="CH74" s="3" t="s">
        <v>270</v>
      </c>
      <c r="CI74" s="3" t="s">
        <v>270</v>
      </c>
      <c r="CJ74" s="3" t="s">
        <v>270</v>
      </c>
      <c r="CK74" s="3" t="s">
        <v>270</v>
      </c>
      <c r="CL74" s="3" t="s">
        <v>270</v>
      </c>
      <c r="CM74" s="3" t="s">
        <v>270</v>
      </c>
      <c r="CN74" s="3" t="s">
        <v>270</v>
      </c>
      <c r="CO74" s="3" t="s">
        <v>263</v>
      </c>
      <c r="CP74" s="3" t="s">
        <v>263</v>
      </c>
      <c r="CQ74" s="3" t="s">
        <v>263</v>
      </c>
      <c r="CR74" s="3" t="s">
        <v>263</v>
      </c>
      <c r="CS74" s="3" t="s">
        <v>263</v>
      </c>
      <c r="CT74" s="3" t="s">
        <v>263</v>
      </c>
      <c r="CU74" s="3" t="s">
        <v>263</v>
      </c>
      <c r="CW74" s="3" t="s">
        <v>270</v>
      </c>
      <c r="CX74" s="3" t="s">
        <v>270</v>
      </c>
      <c r="CY74" s="3" t="s">
        <v>270</v>
      </c>
      <c r="CZ74" s="3" t="s">
        <v>270</v>
      </c>
      <c r="DC74" s="3" t="s">
        <v>270</v>
      </c>
      <c r="DD74" s="3" t="s">
        <v>270</v>
      </c>
      <c r="DE74" s="3" t="s">
        <v>263</v>
      </c>
      <c r="DF74" s="3" t="s">
        <v>263</v>
      </c>
      <c r="DG74" s="3" t="s">
        <v>263</v>
      </c>
      <c r="DH74" s="3" t="s">
        <v>263</v>
      </c>
      <c r="DI74" s="3" t="s">
        <v>263</v>
      </c>
      <c r="DJ74" s="3" t="s">
        <v>263</v>
      </c>
    </row>
    <row r="75" spans="1:131" ht="30" customHeight="1" outlineLevel="1">
      <c r="A75" s="2">
        <v>1261</v>
      </c>
      <c r="BF75" s="3" t="s">
        <v>253</v>
      </c>
      <c r="BG75" s="3" t="s">
        <v>253</v>
      </c>
      <c r="BH75" s="3" t="s">
        <v>253</v>
      </c>
      <c r="BI75" s="3" t="s">
        <v>253</v>
      </c>
      <c r="BJ75" s="3" t="s">
        <v>253</v>
      </c>
      <c r="BK75" s="3" t="s">
        <v>253</v>
      </c>
      <c r="BL75" s="3" t="s">
        <v>253</v>
      </c>
      <c r="BM75" s="3" t="s">
        <v>253</v>
      </c>
      <c r="BN75" s="3" t="s">
        <v>253</v>
      </c>
      <c r="BO75" s="3" t="s">
        <v>253</v>
      </c>
      <c r="BP75" s="3" t="s">
        <v>253</v>
      </c>
      <c r="BQ75" s="3" t="s">
        <v>253</v>
      </c>
      <c r="BR75" s="3" t="s">
        <v>253</v>
      </c>
      <c r="BS75" s="3" t="s">
        <v>253</v>
      </c>
      <c r="BT75" s="3" t="s">
        <v>253</v>
      </c>
      <c r="BU75" s="3" t="s">
        <v>253</v>
      </c>
      <c r="BV75" s="3" t="s">
        <v>253</v>
      </c>
      <c r="BW75" s="3" t="s">
        <v>253</v>
      </c>
      <c r="BX75" s="3" t="s">
        <v>253</v>
      </c>
      <c r="BY75" s="3" t="s">
        <v>253</v>
      </c>
      <c r="BZ75" s="3" t="s">
        <v>253</v>
      </c>
      <c r="CC75" s="5"/>
      <c r="CD75" s="5"/>
      <c r="CE75" s="5"/>
      <c r="CF75" s="3" t="s">
        <v>272</v>
      </c>
      <c r="CG75" s="3" t="s">
        <v>272</v>
      </c>
      <c r="CH75" s="3" t="s">
        <v>272</v>
      </c>
      <c r="CI75" s="3" t="s">
        <v>272</v>
      </c>
      <c r="CJ75" s="3" t="s">
        <v>272</v>
      </c>
      <c r="CK75" s="3" t="s">
        <v>272</v>
      </c>
      <c r="CL75" s="3" t="s">
        <v>272</v>
      </c>
      <c r="CM75" s="3" t="s">
        <v>272</v>
      </c>
      <c r="CN75" s="3" t="s">
        <v>272</v>
      </c>
      <c r="CO75" s="3" t="s">
        <v>272</v>
      </c>
      <c r="CP75" s="3" t="s">
        <v>272</v>
      </c>
      <c r="CQ75" s="3" t="s">
        <v>272</v>
      </c>
      <c r="CR75" s="3" t="s">
        <v>272</v>
      </c>
      <c r="CS75" s="3" t="s">
        <v>272</v>
      </c>
      <c r="CT75" s="3" t="s">
        <v>272</v>
      </c>
      <c r="CU75" s="3" t="s">
        <v>253</v>
      </c>
      <c r="CV75" s="3" t="s">
        <v>253</v>
      </c>
      <c r="CW75" s="3" t="s">
        <v>253</v>
      </c>
      <c r="CX75" s="3" t="s">
        <v>253</v>
      </c>
      <c r="CY75" s="3" t="s">
        <v>253</v>
      </c>
      <c r="CZ75" s="3" t="s">
        <v>253</v>
      </c>
      <c r="DC75" s="3" t="s">
        <v>253</v>
      </c>
      <c r="DD75" s="3" t="s">
        <v>253</v>
      </c>
      <c r="DE75" s="3" t="s">
        <v>253</v>
      </c>
      <c r="DF75" s="3" t="s">
        <v>253</v>
      </c>
      <c r="DG75" s="3" t="s">
        <v>253</v>
      </c>
      <c r="DH75" s="3" t="s">
        <v>253</v>
      </c>
      <c r="DI75" s="3" t="s">
        <v>253</v>
      </c>
    </row>
    <row r="76" spans="1:131" ht="30" customHeight="1" outlineLevel="1">
      <c r="A76" s="2">
        <v>1262</v>
      </c>
      <c r="BP76" s="3" t="s">
        <v>254</v>
      </c>
      <c r="BQ76" s="3" t="s">
        <v>254</v>
      </c>
      <c r="BR76" s="3" t="s">
        <v>254</v>
      </c>
      <c r="BS76" s="3" t="s">
        <v>254</v>
      </c>
      <c r="BT76" s="3" t="s">
        <v>254</v>
      </c>
      <c r="BU76" s="3" t="s">
        <v>254</v>
      </c>
      <c r="BV76" s="3" t="s">
        <v>254</v>
      </c>
      <c r="CC76" s="5"/>
      <c r="CD76" s="5"/>
      <c r="CE76" s="5"/>
      <c r="CF76" s="3" t="s">
        <v>263</v>
      </c>
      <c r="CG76" s="3" t="s">
        <v>263</v>
      </c>
      <c r="CH76" s="3" t="s">
        <v>263</v>
      </c>
      <c r="CI76" s="3" t="s">
        <v>263</v>
      </c>
      <c r="CJ76" s="3" t="s">
        <v>263</v>
      </c>
      <c r="CK76" s="3" t="s">
        <v>263</v>
      </c>
      <c r="CL76" s="3" t="s">
        <v>263</v>
      </c>
      <c r="CM76" s="3" t="s">
        <v>263</v>
      </c>
      <c r="CN76" s="3" t="s">
        <v>263</v>
      </c>
      <c r="CR76" s="3" t="s">
        <v>254</v>
      </c>
      <c r="CS76" s="3" t="s">
        <v>254</v>
      </c>
      <c r="CT76" s="3" t="s">
        <v>254</v>
      </c>
      <c r="CU76" s="3" t="s">
        <v>254</v>
      </c>
      <c r="CV76" s="3" t="s">
        <v>254</v>
      </c>
      <c r="CW76" s="3" t="s">
        <v>254</v>
      </c>
    </row>
    <row r="77" spans="1:131" ht="30" customHeight="1" outlineLevel="1">
      <c r="A77" s="2">
        <v>1263</v>
      </c>
      <c r="BD77" s="3" t="s">
        <v>272</v>
      </c>
      <c r="BF77" s="3" t="s">
        <v>272</v>
      </c>
      <c r="BG77" s="3" t="s">
        <v>272</v>
      </c>
      <c r="BH77" s="3" t="s">
        <v>272</v>
      </c>
      <c r="BJ77" s="3" t="s">
        <v>253</v>
      </c>
      <c r="BK77" s="3" t="s">
        <v>253</v>
      </c>
      <c r="BL77" s="3" t="s">
        <v>253</v>
      </c>
      <c r="BM77" s="3" t="s">
        <v>253</v>
      </c>
      <c r="BS77" s="3" t="s">
        <v>259</v>
      </c>
      <c r="BT77" s="3" t="s">
        <v>259</v>
      </c>
      <c r="BU77" s="3" t="s">
        <v>259</v>
      </c>
      <c r="BV77" s="3" t="s">
        <v>259</v>
      </c>
      <c r="BW77" s="3" t="s">
        <v>259</v>
      </c>
      <c r="BX77" s="3" t="s">
        <v>259</v>
      </c>
      <c r="BY77" s="3" t="s">
        <v>259</v>
      </c>
      <c r="BZ77" s="3" t="s">
        <v>259</v>
      </c>
      <c r="CA77" s="3" t="s">
        <v>259</v>
      </c>
      <c r="CB77" s="3" t="s">
        <v>259</v>
      </c>
      <c r="CC77" s="5"/>
      <c r="CD77" s="5"/>
      <c r="CE77" s="5"/>
      <c r="CF77" s="3" t="s">
        <v>263</v>
      </c>
      <c r="CP77" s="3" t="s">
        <v>259</v>
      </c>
      <c r="CQ77" s="3" t="s">
        <v>259</v>
      </c>
      <c r="CR77" s="3" t="s">
        <v>259</v>
      </c>
      <c r="CS77" s="3" t="s">
        <v>259</v>
      </c>
      <c r="CT77" s="3" t="s">
        <v>259</v>
      </c>
      <c r="CU77" s="3" t="s">
        <v>259</v>
      </c>
      <c r="CV77" s="3" t="s">
        <v>259</v>
      </c>
      <c r="CW77" s="3" t="s">
        <v>259</v>
      </c>
      <c r="CX77" s="3" t="s">
        <v>259</v>
      </c>
      <c r="CY77" s="3" t="s">
        <v>259</v>
      </c>
      <c r="CZ77" s="3" t="s">
        <v>259</v>
      </c>
      <c r="DC77" s="3" t="s">
        <v>259</v>
      </c>
      <c r="DD77" s="3" t="s">
        <v>259</v>
      </c>
      <c r="DE77" s="3" t="s">
        <v>259</v>
      </c>
      <c r="DF77" s="3" t="s">
        <v>259</v>
      </c>
      <c r="DG77" s="3" t="s">
        <v>259</v>
      </c>
      <c r="DH77" s="3" t="s">
        <v>259</v>
      </c>
      <c r="DI77" s="3" t="s">
        <v>259</v>
      </c>
      <c r="DJ77" s="3" t="s">
        <v>259</v>
      </c>
      <c r="DK77" s="3" t="s">
        <v>259</v>
      </c>
      <c r="DL77" s="3" t="s">
        <v>259</v>
      </c>
    </row>
    <row r="78" spans="1:131" ht="30" customHeight="1"/>
    <row r="79" spans="1:131" s="5" customFormat="1" ht="30" customHeight="1">
      <c r="A79" s="4" t="s">
        <v>323</v>
      </c>
    </row>
    <row r="80" spans="1:131" ht="30" customHeight="1" outlineLevel="1">
      <c r="A80" s="2">
        <v>1</v>
      </c>
    </row>
    <row r="81" spans="1:71" ht="30" customHeight="1" outlineLevel="1">
      <c r="A81" s="2">
        <v>2</v>
      </c>
    </row>
    <row r="82" spans="1:71" ht="30" customHeight="1" outlineLevel="1">
      <c r="A82" s="2">
        <v>3</v>
      </c>
    </row>
    <row r="83" spans="1:71" ht="30" customHeight="1" outlineLevel="1">
      <c r="A83" s="2" t="s">
        <v>324</v>
      </c>
      <c r="BJ83" s="3">
        <v>1214</v>
      </c>
      <c r="BQ83" s="3">
        <v>1214</v>
      </c>
      <c r="BS83" s="3">
        <v>1263</v>
      </c>
    </row>
    <row r="84" spans="1:71" ht="30" customHeight="1" outlineLevel="1">
      <c r="A84" s="2">
        <v>5</v>
      </c>
    </row>
    <row r="85" spans="1:71" ht="30" customHeight="1" outlineLevel="1">
      <c r="A85" s="2" t="s">
        <v>325</v>
      </c>
      <c r="BJ85" s="3">
        <v>1263</v>
      </c>
      <c r="BQ85" s="3">
        <v>1263</v>
      </c>
    </row>
    <row r="86" spans="1:71" ht="30" customHeight="1" outlineLevel="1">
      <c r="A86" s="2" t="s">
        <v>326</v>
      </c>
      <c r="BJ86" s="3">
        <v>1263</v>
      </c>
      <c r="BQ86" s="3">
        <v>1263</v>
      </c>
    </row>
    <row r="87" spans="1:71" ht="30" customHeight="1" outlineLevel="1">
      <c r="A87" s="2">
        <v>8</v>
      </c>
    </row>
    <row r="88" spans="1:71" ht="30" customHeight="1" outlineLevel="1">
      <c r="A88" s="2" t="s">
        <v>327</v>
      </c>
      <c r="BJ88" s="3">
        <v>1261</v>
      </c>
      <c r="BQ88" s="3">
        <v>1261</v>
      </c>
    </row>
    <row r="89" spans="1:71" ht="30" customHeight="1" outlineLevel="1">
      <c r="A89" s="2">
        <v>10</v>
      </c>
    </row>
    <row r="90" spans="1:71" ht="30" customHeight="1" outlineLevel="1">
      <c r="A90" s="2" t="s">
        <v>328</v>
      </c>
      <c r="BJ90" s="3" t="s">
        <v>329</v>
      </c>
      <c r="BQ90" s="3" t="s">
        <v>329</v>
      </c>
    </row>
    <row r="91" spans="1:71" ht="30" customHeight="1" outlineLevel="1">
      <c r="A91" s="2" t="s">
        <v>330</v>
      </c>
      <c r="BJ91" s="3">
        <v>1213</v>
      </c>
      <c r="BQ91" s="3">
        <v>1213</v>
      </c>
    </row>
    <row r="92" spans="1:71" ht="30" customHeight="1" outlineLevel="1">
      <c r="A92" s="2" t="s">
        <v>331</v>
      </c>
      <c r="BJ92" s="3">
        <v>1263</v>
      </c>
      <c r="BQ92" s="3">
        <v>1262</v>
      </c>
      <c r="BS92" s="117">
        <v>1251</v>
      </c>
    </row>
    <row r="93" spans="1:71" ht="30" customHeight="1" outlineLevel="1">
      <c r="A93" s="2" t="s">
        <v>332</v>
      </c>
      <c r="BJ93" s="3">
        <v>1211</v>
      </c>
      <c r="BQ93" s="3">
        <v>1211</v>
      </c>
    </row>
    <row r="94" spans="1:71" ht="30" customHeight="1" outlineLevel="1"/>
    <row r="95" spans="1:71" ht="30" customHeight="1"/>
    <row r="96" spans="1:71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</sheetData>
  <mergeCells count="12">
    <mergeCell ref="DC2:DO2"/>
    <mergeCell ref="DP2:EB2"/>
    <mergeCell ref="EC2:EO2"/>
    <mergeCell ref="EP2:FB2"/>
    <mergeCell ref="CC2:CO2"/>
    <mergeCell ref="CP2:DB2"/>
    <mergeCell ref="BP2:CB2"/>
    <mergeCell ref="B2:N2"/>
    <mergeCell ref="O2:AA2"/>
    <mergeCell ref="AB2:AN2"/>
    <mergeCell ref="AO2:BB2"/>
    <mergeCell ref="BC2:BO2"/>
  </mergeCells>
  <phoneticPr fontId="1" type="noConversion"/>
  <conditionalFormatting sqref="B9:CB9 CF9:XFD9">
    <cfRule type="cellIs" dxfId="9" priority="3" operator="between">
      <formula>2</formula>
      <formula>3</formula>
    </cfRule>
    <cfRule type="cellIs" dxfId="8" priority="4" operator="greaterThan">
      <formula>3</formula>
    </cfRule>
  </conditionalFormatting>
  <conditionalFormatting sqref="B36:DN36 DP36:XFD36 B37:XFD37">
    <cfRule type="cellIs" dxfId="7" priority="1" operator="between">
      <formula>5</formula>
      <formula>7</formula>
    </cfRule>
    <cfRule type="cellIs" dxfId="6" priority="2" operator="greaterThan">
      <formula>7</formula>
    </cfRule>
  </conditionalFormatting>
  <conditionalFormatting sqref="B21:XFD22">
    <cfRule type="cellIs" dxfId="5" priority="5" operator="between">
      <formula>3</formula>
      <formula>5</formula>
    </cfRule>
    <cfRule type="cellIs" dxfId="4" priority="6" operator="greaterThan">
      <formula>5</formula>
    </cfRule>
  </conditionalFormatting>
  <conditionalFormatting sqref="B66:XFD66">
    <cfRule type="cellIs" dxfId="3" priority="7" operator="between">
      <formula>0.6</formula>
      <formula>0.8</formula>
    </cfRule>
    <cfRule type="cellIs" dxfId="2" priority="8" operator="greaterThan">
      <formula>0.8</formula>
    </cfRule>
  </conditionalFormatting>
  <pageMargins left="0.7" right="0.7" top="0.75" bottom="0.75" header="0.3" footer="0.3"/>
  <pageSetup paperSize="17" scale="19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CAE0-0452-A243-AF1F-130306DC07E5}">
  <dimension ref="A1:BH105"/>
  <sheetViews>
    <sheetView tabSelected="1" workbookViewId="0">
      <pane xSplit="36" ySplit="6" topLeftCell="AK7" activePane="bottomRight" state="frozen"/>
      <selection pane="topRight" activeCell="AK1" sqref="AK1"/>
      <selection pane="bottomLeft" activeCell="A4" sqref="A4"/>
      <selection pane="bottomRight" activeCell="AP11" sqref="AP11"/>
    </sheetView>
  </sheetViews>
  <sheetFormatPr baseColWidth="10" defaultRowHeight="15"/>
  <cols>
    <col min="1" max="1" width="54" bestFit="1" customWidth="1"/>
    <col min="2" max="36" width="0" hidden="1" customWidth="1"/>
    <col min="37" max="37" width="15.83203125" bestFit="1" customWidth="1"/>
    <col min="38" max="38" width="15" bestFit="1" customWidth="1"/>
    <col min="39" max="39" width="14.33203125" bestFit="1" customWidth="1"/>
  </cols>
  <sheetData>
    <row r="1" spans="1:60">
      <c r="AL1" t="s">
        <v>437</v>
      </c>
      <c r="AM1" t="s">
        <v>438</v>
      </c>
      <c r="AN1" t="s">
        <v>439</v>
      </c>
    </row>
    <row r="2" spans="1:60">
      <c r="AL2" s="274">
        <f>AVERAGE(AK6:BH6)</f>
        <v>2.375</v>
      </c>
      <c r="AM2" s="274"/>
      <c r="AN2" s="274"/>
      <c r="AO2" s="274"/>
      <c r="AP2" s="274"/>
      <c r="AQ2" s="274"/>
      <c r="AR2" s="274"/>
    </row>
    <row r="3" spans="1:60">
      <c r="AL3" s="274">
        <f>AVERAGE(AK36:AY36)</f>
        <v>3.5333333333333332</v>
      </c>
      <c r="AM3" s="274">
        <f>AVERAGE(AK22:AY22)</f>
        <v>5.7333333333333334</v>
      </c>
      <c r="AN3" s="274">
        <f>AVERAGE(AK51:AY51)</f>
        <v>0.73076923076923073</v>
      </c>
      <c r="AO3" s="274"/>
      <c r="AP3" s="274"/>
      <c r="AQ3" s="274"/>
      <c r="AR3" s="274"/>
    </row>
    <row r="4" spans="1:60" ht="20">
      <c r="A4" s="52" t="s">
        <v>37</v>
      </c>
      <c r="B4" s="7">
        <v>44927</v>
      </c>
      <c r="C4" s="7">
        <f>B4+7</f>
        <v>44934</v>
      </c>
      <c r="D4" s="7">
        <f t="shared" ref="D4:BG4" si="0">C4+7</f>
        <v>44941</v>
      </c>
      <c r="E4" s="7">
        <f t="shared" si="0"/>
        <v>44948</v>
      </c>
      <c r="F4" s="7">
        <f t="shared" si="0"/>
        <v>44955</v>
      </c>
      <c r="G4" s="7">
        <f t="shared" si="0"/>
        <v>44962</v>
      </c>
      <c r="H4" s="7">
        <f t="shared" si="0"/>
        <v>44969</v>
      </c>
      <c r="I4" s="7">
        <f t="shared" si="0"/>
        <v>44976</v>
      </c>
      <c r="J4" s="7">
        <f t="shared" si="0"/>
        <v>44983</v>
      </c>
      <c r="K4" s="7">
        <f t="shared" si="0"/>
        <v>44990</v>
      </c>
      <c r="L4" s="7">
        <f t="shared" si="0"/>
        <v>44997</v>
      </c>
      <c r="M4" s="7">
        <f t="shared" si="0"/>
        <v>45004</v>
      </c>
      <c r="N4" s="7">
        <f t="shared" si="0"/>
        <v>45011</v>
      </c>
      <c r="O4" s="7">
        <f t="shared" si="0"/>
        <v>45018</v>
      </c>
      <c r="P4" s="7">
        <f t="shared" si="0"/>
        <v>45025</v>
      </c>
      <c r="Q4" s="7">
        <f t="shared" si="0"/>
        <v>45032</v>
      </c>
      <c r="R4" s="7">
        <f t="shared" si="0"/>
        <v>45039</v>
      </c>
      <c r="S4" s="7">
        <f t="shared" si="0"/>
        <v>45046</v>
      </c>
      <c r="T4" s="7">
        <f t="shared" si="0"/>
        <v>45053</v>
      </c>
      <c r="U4" s="7">
        <f t="shared" si="0"/>
        <v>45060</v>
      </c>
      <c r="V4" s="7">
        <f t="shared" si="0"/>
        <v>45067</v>
      </c>
      <c r="W4" s="7">
        <f t="shared" si="0"/>
        <v>45074</v>
      </c>
      <c r="X4" s="7">
        <f t="shared" si="0"/>
        <v>45081</v>
      </c>
      <c r="Y4" s="7">
        <f t="shared" si="0"/>
        <v>45088</v>
      </c>
      <c r="Z4" s="7">
        <f t="shared" si="0"/>
        <v>45095</v>
      </c>
      <c r="AA4" s="7">
        <f t="shared" si="0"/>
        <v>45102</v>
      </c>
      <c r="AB4" s="7">
        <f t="shared" si="0"/>
        <v>45109</v>
      </c>
      <c r="AC4" s="7">
        <f t="shared" si="0"/>
        <v>45116</v>
      </c>
      <c r="AD4" s="7">
        <f t="shared" si="0"/>
        <v>45123</v>
      </c>
      <c r="AE4" s="7">
        <f t="shared" si="0"/>
        <v>45130</v>
      </c>
      <c r="AF4" s="7">
        <f t="shared" si="0"/>
        <v>45137</v>
      </c>
      <c r="AG4" s="7">
        <f t="shared" si="0"/>
        <v>45144</v>
      </c>
      <c r="AH4" s="7">
        <f t="shared" si="0"/>
        <v>45151</v>
      </c>
      <c r="AI4" s="7">
        <f t="shared" si="0"/>
        <v>45158</v>
      </c>
      <c r="AJ4" s="7">
        <f t="shared" si="0"/>
        <v>45165</v>
      </c>
      <c r="AK4" s="7">
        <f>AJ4+7</f>
        <v>45172</v>
      </c>
      <c r="AL4" s="7">
        <f t="shared" si="0"/>
        <v>45179</v>
      </c>
      <c r="AM4" s="7">
        <f t="shared" si="0"/>
        <v>45186</v>
      </c>
      <c r="AN4" s="7">
        <f t="shared" si="0"/>
        <v>45193</v>
      </c>
      <c r="AO4" s="7">
        <f t="shared" si="0"/>
        <v>45200</v>
      </c>
      <c r="AP4" s="7">
        <f t="shared" si="0"/>
        <v>45207</v>
      </c>
      <c r="AQ4" s="7">
        <f t="shared" si="0"/>
        <v>45214</v>
      </c>
      <c r="AR4" s="7">
        <f t="shared" si="0"/>
        <v>45221</v>
      </c>
      <c r="AS4" s="7">
        <f t="shared" si="0"/>
        <v>45228</v>
      </c>
      <c r="AT4" s="7">
        <f t="shared" si="0"/>
        <v>45235</v>
      </c>
      <c r="AU4" s="7">
        <f t="shared" si="0"/>
        <v>45242</v>
      </c>
      <c r="AV4" s="7">
        <f t="shared" si="0"/>
        <v>45249</v>
      </c>
      <c r="AW4" s="7">
        <f t="shared" si="0"/>
        <v>45256</v>
      </c>
      <c r="AX4" s="7">
        <f t="shared" si="0"/>
        <v>45263</v>
      </c>
      <c r="AY4" s="7">
        <f t="shared" si="0"/>
        <v>45270</v>
      </c>
      <c r="AZ4" s="7">
        <f t="shared" si="0"/>
        <v>45277</v>
      </c>
      <c r="BA4" s="7">
        <f t="shared" si="0"/>
        <v>45284</v>
      </c>
      <c r="BB4" s="7">
        <f t="shared" si="0"/>
        <v>45291</v>
      </c>
      <c r="BC4" s="7">
        <v>45299</v>
      </c>
      <c r="BD4" s="7">
        <f t="shared" si="0"/>
        <v>45306</v>
      </c>
      <c r="BE4" s="7">
        <f t="shared" si="0"/>
        <v>45313</v>
      </c>
      <c r="BF4" s="7">
        <f t="shared" si="0"/>
        <v>45320</v>
      </c>
      <c r="BG4" s="7">
        <f t="shared" si="0"/>
        <v>45327</v>
      </c>
      <c r="BH4" s="7">
        <f>BG4+7</f>
        <v>45334</v>
      </c>
    </row>
    <row r="5" spans="1:60" ht="17" thickBot="1">
      <c r="A5" s="70" t="s">
        <v>38</v>
      </c>
      <c r="B5" s="71">
        <f>_xlfn.ISOWEEKNUM(B4)</f>
        <v>52</v>
      </c>
      <c r="C5" s="71">
        <f t="shared" ref="C5:BH5" si="1">_xlfn.ISOWEEKNUM(C4)</f>
        <v>1</v>
      </c>
      <c r="D5" s="71">
        <f t="shared" si="1"/>
        <v>2</v>
      </c>
      <c r="E5" s="71">
        <f t="shared" si="1"/>
        <v>3</v>
      </c>
      <c r="F5" s="71">
        <f t="shared" si="1"/>
        <v>4</v>
      </c>
      <c r="G5" s="71">
        <f t="shared" si="1"/>
        <v>5</v>
      </c>
      <c r="H5" s="71">
        <f t="shared" si="1"/>
        <v>6</v>
      </c>
      <c r="I5" s="71">
        <f t="shared" si="1"/>
        <v>7</v>
      </c>
      <c r="J5" s="71">
        <f t="shared" si="1"/>
        <v>8</v>
      </c>
      <c r="K5" s="71">
        <f t="shared" si="1"/>
        <v>9</v>
      </c>
      <c r="L5" s="71">
        <f t="shared" si="1"/>
        <v>10</v>
      </c>
      <c r="M5" s="71">
        <f t="shared" si="1"/>
        <v>11</v>
      </c>
      <c r="N5" s="71">
        <f t="shared" si="1"/>
        <v>12</v>
      </c>
      <c r="O5" s="71">
        <f t="shared" si="1"/>
        <v>13</v>
      </c>
      <c r="P5" s="71">
        <f t="shared" si="1"/>
        <v>14</v>
      </c>
      <c r="Q5" s="71">
        <f t="shared" si="1"/>
        <v>15</v>
      </c>
      <c r="R5" s="71">
        <f t="shared" si="1"/>
        <v>16</v>
      </c>
      <c r="S5" s="71">
        <f t="shared" si="1"/>
        <v>17</v>
      </c>
      <c r="T5" s="71">
        <f t="shared" si="1"/>
        <v>18</v>
      </c>
      <c r="U5" s="71">
        <f t="shared" si="1"/>
        <v>19</v>
      </c>
      <c r="V5" s="71">
        <f t="shared" si="1"/>
        <v>20</v>
      </c>
      <c r="W5" s="71">
        <f t="shared" si="1"/>
        <v>21</v>
      </c>
      <c r="X5" s="71">
        <f t="shared" si="1"/>
        <v>22</v>
      </c>
      <c r="Y5" s="71">
        <f t="shared" si="1"/>
        <v>23</v>
      </c>
      <c r="Z5" s="71">
        <f t="shared" si="1"/>
        <v>24</v>
      </c>
      <c r="AA5" s="71">
        <f t="shared" si="1"/>
        <v>25</v>
      </c>
      <c r="AB5" s="71">
        <f t="shared" si="1"/>
        <v>26</v>
      </c>
      <c r="AC5" s="71">
        <f t="shared" si="1"/>
        <v>27</v>
      </c>
      <c r="AD5" s="71">
        <f t="shared" si="1"/>
        <v>28</v>
      </c>
      <c r="AE5" s="71">
        <f t="shared" si="1"/>
        <v>29</v>
      </c>
      <c r="AF5" s="71">
        <f t="shared" si="1"/>
        <v>30</v>
      </c>
      <c r="AG5" s="71">
        <f t="shared" si="1"/>
        <v>31</v>
      </c>
      <c r="AH5" s="71">
        <f t="shared" si="1"/>
        <v>32</v>
      </c>
      <c r="AI5" s="71">
        <f t="shared" si="1"/>
        <v>33</v>
      </c>
      <c r="AJ5" s="71">
        <f t="shared" si="1"/>
        <v>34</v>
      </c>
      <c r="AK5" s="71">
        <f t="shared" si="1"/>
        <v>35</v>
      </c>
      <c r="AL5" s="71">
        <f t="shared" si="1"/>
        <v>36</v>
      </c>
      <c r="AM5" s="71">
        <f t="shared" si="1"/>
        <v>37</v>
      </c>
      <c r="AN5" s="71">
        <f t="shared" si="1"/>
        <v>38</v>
      </c>
      <c r="AO5" s="71">
        <f t="shared" si="1"/>
        <v>39</v>
      </c>
      <c r="AP5" s="71">
        <f t="shared" si="1"/>
        <v>40</v>
      </c>
      <c r="AQ5" s="71">
        <f t="shared" si="1"/>
        <v>41</v>
      </c>
      <c r="AR5" s="71">
        <f t="shared" si="1"/>
        <v>42</v>
      </c>
      <c r="AS5" s="71">
        <f t="shared" si="1"/>
        <v>43</v>
      </c>
      <c r="AT5" s="71">
        <f t="shared" si="1"/>
        <v>44</v>
      </c>
      <c r="AU5" s="71">
        <f t="shared" si="1"/>
        <v>45</v>
      </c>
      <c r="AV5" s="71">
        <f t="shared" si="1"/>
        <v>46</v>
      </c>
      <c r="AW5" s="71">
        <f t="shared" si="1"/>
        <v>47</v>
      </c>
      <c r="AX5" s="71">
        <f t="shared" si="1"/>
        <v>48</v>
      </c>
      <c r="AY5" s="71">
        <f t="shared" si="1"/>
        <v>49</v>
      </c>
      <c r="AZ5" s="71">
        <f t="shared" si="1"/>
        <v>50</v>
      </c>
      <c r="BA5" s="71">
        <f t="shared" si="1"/>
        <v>51</v>
      </c>
      <c r="BB5" s="71">
        <f t="shared" si="1"/>
        <v>52</v>
      </c>
      <c r="BC5" s="71">
        <f t="shared" si="1"/>
        <v>2</v>
      </c>
      <c r="BD5" s="71">
        <f t="shared" si="1"/>
        <v>3</v>
      </c>
      <c r="BE5" s="71">
        <f t="shared" si="1"/>
        <v>4</v>
      </c>
      <c r="BF5" s="71">
        <f t="shared" si="1"/>
        <v>5</v>
      </c>
      <c r="BG5" s="71">
        <f t="shared" si="1"/>
        <v>6</v>
      </c>
      <c r="BH5" s="71">
        <f t="shared" si="1"/>
        <v>7</v>
      </c>
    </row>
    <row r="6" spans="1:60" ht="30" thickTop="1" thickBot="1">
      <c r="A6" s="4" t="s">
        <v>39</v>
      </c>
      <c r="B6" s="5">
        <f t="shared" ref="B6:BH6" si="2">COUNTA(B7:B17)</f>
        <v>0</v>
      </c>
      <c r="C6" s="5">
        <f t="shared" si="2"/>
        <v>0</v>
      </c>
      <c r="D6" s="5">
        <f t="shared" si="2"/>
        <v>0</v>
      </c>
      <c r="E6" s="5">
        <f t="shared" si="2"/>
        <v>0</v>
      </c>
      <c r="F6" s="5">
        <f t="shared" si="2"/>
        <v>0</v>
      </c>
      <c r="G6" s="5">
        <f t="shared" si="2"/>
        <v>1</v>
      </c>
      <c r="H6" s="5">
        <f t="shared" si="2"/>
        <v>1</v>
      </c>
      <c r="I6" s="5">
        <f t="shared" si="2"/>
        <v>1</v>
      </c>
      <c r="J6" s="5">
        <f t="shared" si="2"/>
        <v>1</v>
      </c>
      <c r="K6" s="5">
        <f t="shared" si="2"/>
        <v>1</v>
      </c>
      <c r="L6" s="5">
        <f t="shared" si="2"/>
        <v>0</v>
      </c>
      <c r="M6" s="5">
        <f t="shared" si="2"/>
        <v>0</v>
      </c>
      <c r="N6" s="5">
        <f t="shared" si="2"/>
        <v>0</v>
      </c>
      <c r="O6" s="5">
        <f t="shared" si="2"/>
        <v>0</v>
      </c>
      <c r="P6" s="5">
        <f t="shared" si="2"/>
        <v>1</v>
      </c>
      <c r="Q6" s="5">
        <f t="shared" si="2"/>
        <v>1</v>
      </c>
      <c r="R6" s="5">
        <f t="shared" si="2"/>
        <v>1</v>
      </c>
      <c r="S6" s="5">
        <f t="shared" si="2"/>
        <v>2</v>
      </c>
      <c r="T6" s="5">
        <f t="shared" si="2"/>
        <v>1</v>
      </c>
      <c r="U6" s="5">
        <f t="shared" si="2"/>
        <v>1</v>
      </c>
      <c r="V6" s="5">
        <f t="shared" si="2"/>
        <v>0</v>
      </c>
      <c r="W6" s="5">
        <f t="shared" si="2"/>
        <v>0</v>
      </c>
      <c r="X6" s="5">
        <f t="shared" si="2"/>
        <v>0</v>
      </c>
      <c r="Y6" s="5">
        <f t="shared" si="2"/>
        <v>1</v>
      </c>
      <c r="Z6" s="5">
        <f t="shared" si="2"/>
        <v>1</v>
      </c>
      <c r="AA6" s="5">
        <f t="shared" si="2"/>
        <v>1</v>
      </c>
      <c r="AB6" s="5">
        <f t="shared" si="2"/>
        <v>1</v>
      </c>
      <c r="AC6" s="5">
        <f t="shared" si="2"/>
        <v>1</v>
      </c>
      <c r="AD6" s="5">
        <f t="shared" si="2"/>
        <v>1</v>
      </c>
      <c r="AE6" s="5">
        <f t="shared" si="2"/>
        <v>1</v>
      </c>
      <c r="AF6" s="5">
        <f t="shared" si="2"/>
        <v>2</v>
      </c>
      <c r="AG6" s="5">
        <f t="shared" si="2"/>
        <v>2</v>
      </c>
      <c r="AH6" s="5">
        <f t="shared" si="2"/>
        <v>2</v>
      </c>
      <c r="AI6" s="5">
        <f t="shared" si="2"/>
        <v>1</v>
      </c>
      <c r="AJ6" s="5">
        <f t="shared" si="2"/>
        <v>1</v>
      </c>
      <c r="AK6" s="5">
        <f t="shared" si="2"/>
        <v>1</v>
      </c>
      <c r="AL6" s="5">
        <f t="shared" si="2"/>
        <v>1</v>
      </c>
      <c r="AM6" s="5">
        <f t="shared" si="2"/>
        <v>1</v>
      </c>
      <c r="AN6" s="5">
        <f t="shared" si="2"/>
        <v>1</v>
      </c>
      <c r="AO6" s="5">
        <f t="shared" si="2"/>
        <v>2</v>
      </c>
      <c r="AP6" s="5">
        <f t="shared" si="2"/>
        <v>2</v>
      </c>
      <c r="AQ6" s="5">
        <f t="shared" si="2"/>
        <v>2</v>
      </c>
      <c r="AR6" s="5">
        <f t="shared" si="2"/>
        <v>2</v>
      </c>
      <c r="AS6" s="5">
        <f t="shared" si="2"/>
        <v>2</v>
      </c>
      <c r="AT6" s="5">
        <f t="shared" si="2"/>
        <v>2</v>
      </c>
      <c r="AU6" s="5">
        <f t="shared" si="2"/>
        <v>3</v>
      </c>
      <c r="AV6" s="5">
        <f t="shared" si="2"/>
        <v>2</v>
      </c>
      <c r="AW6" s="5">
        <f t="shared" si="2"/>
        <v>2</v>
      </c>
      <c r="AX6" s="5">
        <f t="shared" si="2"/>
        <v>1</v>
      </c>
      <c r="AY6" s="5">
        <f t="shared" si="2"/>
        <v>2</v>
      </c>
      <c r="AZ6" s="5">
        <f t="shared" si="2"/>
        <v>4</v>
      </c>
      <c r="BA6" s="5">
        <f t="shared" si="2"/>
        <v>2</v>
      </c>
      <c r="BB6" s="5">
        <f t="shared" si="2"/>
        <v>2</v>
      </c>
      <c r="BC6" s="5">
        <f t="shared" si="2"/>
        <v>2</v>
      </c>
      <c r="BD6" s="5">
        <f t="shared" si="2"/>
        <v>3</v>
      </c>
      <c r="BE6" s="5">
        <f t="shared" si="2"/>
        <v>4</v>
      </c>
      <c r="BF6" s="5">
        <f t="shared" si="2"/>
        <v>5</v>
      </c>
      <c r="BG6" s="5">
        <f t="shared" si="2"/>
        <v>4</v>
      </c>
      <c r="BH6" s="5">
        <f t="shared" si="2"/>
        <v>5</v>
      </c>
    </row>
    <row r="7" spans="1:60" ht="30" thickTop="1" thickBot="1">
      <c r="A7" s="17" t="s">
        <v>42</v>
      </c>
      <c r="B7" s="3"/>
      <c r="C7" s="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1" t="s">
        <v>43</v>
      </c>
      <c r="T7" s="12" t="s">
        <v>44</v>
      </c>
      <c r="U7" s="11" t="s">
        <v>45</v>
      </c>
      <c r="V7" s="10"/>
      <c r="W7" s="10"/>
      <c r="X7" s="10"/>
      <c r="Y7" s="10"/>
      <c r="Z7" s="10"/>
      <c r="AA7" s="10"/>
      <c r="AB7" s="13" t="s">
        <v>46</v>
      </c>
      <c r="AC7" s="13" t="s">
        <v>40</v>
      </c>
      <c r="AD7" s="13" t="s">
        <v>40</v>
      </c>
      <c r="AE7" s="13" t="s">
        <v>40</v>
      </c>
      <c r="AF7" s="13" t="s">
        <v>47</v>
      </c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1" t="s">
        <v>48</v>
      </c>
      <c r="BA7" s="13" t="s">
        <v>46</v>
      </c>
      <c r="BB7" s="13" t="s">
        <v>40</v>
      </c>
      <c r="BC7" s="23" t="s">
        <v>47</v>
      </c>
      <c r="BD7" s="24"/>
      <c r="BE7" s="25" t="s">
        <v>49</v>
      </c>
      <c r="BF7" s="26" t="s">
        <v>49</v>
      </c>
      <c r="BG7" s="26" t="s">
        <v>49</v>
      </c>
      <c r="BH7" s="26" t="s">
        <v>49</v>
      </c>
    </row>
    <row r="8" spans="1:60" ht="30" thickTop="1" thickBot="1">
      <c r="A8" s="17" t="s">
        <v>72</v>
      </c>
      <c r="B8" s="3"/>
      <c r="C8" s="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22"/>
      <c r="T8" s="56"/>
      <c r="U8" s="22"/>
      <c r="V8" s="10"/>
      <c r="W8" s="10"/>
      <c r="X8" s="10"/>
      <c r="Y8" s="10"/>
      <c r="Z8" s="10"/>
      <c r="AA8" s="10"/>
      <c r="AB8" s="57"/>
      <c r="AC8" s="57"/>
      <c r="AD8" s="57"/>
      <c r="AE8" s="57"/>
      <c r="AF8" s="57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22"/>
      <c r="BA8" s="57"/>
      <c r="BB8" s="57"/>
      <c r="BC8" s="58"/>
      <c r="BD8" s="58"/>
      <c r="BE8" s="59"/>
      <c r="BF8" s="59"/>
      <c r="BG8" s="59"/>
      <c r="BH8" s="59"/>
    </row>
    <row r="9" spans="1:60" ht="30" thickTop="1" thickBot="1">
      <c r="A9" s="17" t="s">
        <v>99</v>
      </c>
      <c r="B9" s="3"/>
      <c r="C9" s="3"/>
      <c r="D9" s="10"/>
      <c r="E9" s="10"/>
      <c r="F9" s="10"/>
      <c r="G9" s="11" t="s">
        <v>100</v>
      </c>
      <c r="H9" s="63" t="s">
        <v>101</v>
      </c>
      <c r="I9" s="64" t="s">
        <v>44</v>
      </c>
      <c r="J9" s="64" t="s">
        <v>102</v>
      </c>
      <c r="K9" s="11" t="s">
        <v>45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1" t="s">
        <v>103</v>
      </c>
      <c r="Z9" s="63" t="s">
        <v>104</v>
      </c>
      <c r="AA9" s="11" t="s">
        <v>45</v>
      </c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1" t="s">
        <v>105</v>
      </c>
      <c r="AV9" s="65" t="s">
        <v>105</v>
      </c>
      <c r="AW9" s="65" t="s">
        <v>105</v>
      </c>
      <c r="AX9" s="65" t="s">
        <v>105</v>
      </c>
      <c r="AY9" s="65" t="s">
        <v>63</v>
      </c>
      <c r="AZ9" s="65" t="s">
        <v>63</v>
      </c>
      <c r="BA9" s="65" t="s">
        <v>63</v>
      </c>
      <c r="BB9" s="66" t="s">
        <v>63</v>
      </c>
      <c r="BC9" s="27" t="s">
        <v>106</v>
      </c>
      <c r="BD9" s="44" t="s">
        <v>63</v>
      </c>
      <c r="BE9" s="28" t="s">
        <v>107</v>
      </c>
      <c r="BF9" s="44" t="s">
        <v>63</v>
      </c>
      <c r="BG9" s="44" t="s">
        <v>63</v>
      </c>
      <c r="BH9" s="29" t="s">
        <v>108</v>
      </c>
    </row>
    <row r="10" spans="1:60" ht="29" thickBot="1">
      <c r="A10" s="17" t="s">
        <v>140</v>
      </c>
      <c r="B10" s="3"/>
      <c r="C10" s="3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 t="s">
        <v>141</v>
      </c>
      <c r="Q10" s="63" t="s">
        <v>101</v>
      </c>
      <c r="R10" s="64" t="s">
        <v>44</v>
      </c>
      <c r="S10" s="11" t="s">
        <v>45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1" t="s">
        <v>141</v>
      </c>
      <c r="AG10" s="15" t="s">
        <v>44</v>
      </c>
      <c r="AH10" s="11" t="s">
        <v>45</v>
      </c>
      <c r="AI10" s="10"/>
      <c r="AJ10" s="10"/>
      <c r="AK10" s="10"/>
      <c r="AL10" s="10"/>
      <c r="AM10" s="10"/>
      <c r="AN10" s="10"/>
      <c r="AO10" s="11" t="s">
        <v>142</v>
      </c>
      <c r="AP10" s="65" t="s">
        <v>142</v>
      </c>
      <c r="AQ10" s="65" t="s">
        <v>142</v>
      </c>
      <c r="AR10" s="65" t="s">
        <v>142</v>
      </c>
      <c r="AS10" s="65" t="s">
        <v>142</v>
      </c>
      <c r="AT10" s="65" t="s">
        <v>142</v>
      </c>
      <c r="AU10" s="11" t="s">
        <v>142</v>
      </c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</row>
    <row r="11" spans="1:60" ht="30" thickTop="1" thickBot="1">
      <c r="A11" s="17" t="s">
        <v>157</v>
      </c>
      <c r="B11" s="3"/>
      <c r="C11" s="3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1" t="s">
        <v>158</v>
      </c>
      <c r="AH11" s="16" t="s">
        <v>159</v>
      </c>
      <c r="AI11" s="16" t="s">
        <v>160</v>
      </c>
      <c r="AJ11" s="16" t="s">
        <v>161</v>
      </c>
      <c r="AK11" s="16" t="s">
        <v>49</v>
      </c>
      <c r="AL11" s="16" t="s">
        <v>49</v>
      </c>
      <c r="AM11" s="16" t="s">
        <v>49</v>
      </c>
      <c r="AN11" s="16" t="s">
        <v>49</v>
      </c>
      <c r="AO11" s="46" t="s">
        <v>49</v>
      </c>
      <c r="AP11" s="46" t="s">
        <v>162</v>
      </c>
      <c r="AQ11" s="46" t="s">
        <v>162</v>
      </c>
      <c r="AR11" s="46" t="s">
        <v>162</v>
      </c>
      <c r="AS11" s="46" t="s">
        <v>162</v>
      </c>
      <c r="AT11" s="46" t="s">
        <v>163</v>
      </c>
      <c r="AU11" s="46" t="s">
        <v>163</v>
      </c>
      <c r="AV11" s="46" t="s">
        <v>163</v>
      </c>
      <c r="AW11" s="13" t="s">
        <v>164</v>
      </c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85" t="s">
        <v>162</v>
      </c>
    </row>
    <row r="12" spans="1:60" ht="30" thickTop="1" thickBot="1">
      <c r="A12" s="17" t="s">
        <v>184</v>
      </c>
      <c r="B12" s="3"/>
      <c r="C12" s="3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34" t="s">
        <v>185</v>
      </c>
      <c r="BG12" s="47" t="s">
        <v>186</v>
      </c>
      <c r="BH12" s="48" t="s">
        <v>186</v>
      </c>
    </row>
    <row r="13" spans="1:60" ht="29" thickBot="1">
      <c r="A13" s="17" t="s">
        <v>202</v>
      </c>
      <c r="B13" s="3"/>
      <c r="C13" s="3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1" t="s">
        <v>203</v>
      </c>
      <c r="BA13" s="10"/>
      <c r="BB13" s="10"/>
      <c r="BC13" s="10"/>
      <c r="BD13" s="34" t="s">
        <v>204</v>
      </c>
      <c r="BE13" s="35" t="s">
        <v>126</v>
      </c>
      <c r="BF13" s="36" t="s">
        <v>126</v>
      </c>
      <c r="BG13" s="20"/>
      <c r="BH13" s="20"/>
    </row>
    <row r="14" spans="1:60" ht="29" thickBot="1">
      <c r="A14" s="17" t="s">
        <v>215</v>
      </c>
      <c r="B14" s="3"/>
      <c r="C14" s="3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1" t="s">
        <v>58</v>
      </c>
      <c r="AZ14" s="14" t="s">
        <v>216</v>
      </c>
      <c r="BA14" s="10"/>
      <c r="BB14" s="10"/>
      <c r="BC14" s="10"/>
      <c r="BD14" s="30" t="s">
        <v>45</v>
      </c>
      <c r="BE14" s="33" t="s">
        <v>217</v>
      </c>
      <c r="BF14" s="31" t="s">
        <v>218</v>
      </c>
      <c r="BG14" s="45" t="s">
        <v>219</v>
      </c>
      <c r="BH14" s="45" t="s">
        <v>219</v>
      </c>
    </row>
    <row r="15" spans="1:60" ht="28">
      <c r="A15" s="17" t="s">
        <v>222</v>
      </c>
      <c r="B15" s="3"/>
      <c r="C15" s="3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</row>
    <row r="16" spans="1:60" ht="28">
      <c r="A16" s="173" t="s">
        <v>236</v>
      </c>
      <c r="B16" s="174"/>
      <c r="C16" s="174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  <c r="AP16" s="175"/>
      <c r="AQ16" s="175"/>
      <c r="AR16" s="175"/>
      <c r="AS16" s="175"/>
      <c r="AT16" s="175"/>
      <c r="AU16" s="175"/>
      <c r="AV16" s="175"/>
      <c r="AW16" s="175"/>
      <c r="AX16" s="175"/>
      <c r="AY16" s="175"/>
      <c r="AZ16" s="175"/>
      <c r="BA16" s="175"/>
      <c r="BB16" s="175"/>
      <c r="BC16" s="175"/>
      <c r="BD16" s="175"/>
      <c r="BE16" s="175"/>
      <c r="BF16" s="175"/>
      <c r="BG16" s="175"/>
      <c r="BH16" s="175"/>
    </row>
    <row r="17" spans="1:60" ht="29" thickBot="1">
      <c r="A17" s="155" t="s">
        <v>237</v>
      </c>
      <c r="B17" s="156"/>
      <c r="C17" s="156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 ht="16" thickTop="1"/>
    <row r="20" spans="1:60" s="265" customFormat="1">
      <c r="A20" s="265" t="s">
        <v>344</v>
      </c>
      <c r="AK20" s="265">
        <v>0</v>
      </c>
      <c r="AL20" s="265">
        <v>1</v>
      </c>
      <c r="AM20" s="265">
        <v>2</v>
      </c>
      <c r="AN20" s="265">
        <v>3</v>
      </c>
      <c r="AO20" s="265">
        <v>4</v>
      </c>
      <c r="AP20" s="265">
        <v>5</v>
      </c>
      <c r="AQ20" s="265">
        <v>6</v>
      </c>
      <c r="AR20" s="265">
        <v>7</v>
      </c>
      <c r="AS20" s="265">
        <v>8</v>
      </c>
      <c r="AT20" s="265">
        <v>9</v>
      </c>
      <c r="AU20" s="265">
        <v>10</v>
      </c>
      <c r="AV20" s="265">
        <v>11</v>
      </c>
      <c r="AW20" s="265">
        <v>12</v>
      </c>
      <c r="AX20" s="265">
        <v>13</v>
      </c>
      <c r="AY20" s="265">
        <v>14</v>
      </c>
    </row>
    <row r="21" spans="1:60" s="271" customFormat="1" ht="16" thickBot="1"/>
    <row r="22" spans="1:60" ht="18" thickBot="1">
      <c r="A22" s="257" t="s">
        <v>333</v>
      </c>
      <c r="AK22" s="272">
        <f>COUNTA(AK23:AK33)</f>
        <v>8</v>
      </c>
      <c r="AL22" s="272">
        <f t="shared" ref="AL22:AY22" si="3">COUNTA(AL23:AL33)</f>
        <v>5</v>
      </c>
      <c r="AM22" s="272">
        <f t="shared" si="3"/>
        <v>7</v>
      </c>
      <c r="AN22" s="272">
        <f t="shared" si="3"/>
        <v>6</v>
      </c>
      <c r="AO22" s="272">
        <f t="shared" si="3"/>
        <v>6</v>
      </c>
      <c r="AP22" s="272">
        <f t="shared" si="3"/>
        <v>6</v>
      </c>
      <c r="AQ22" s="272">
        <f t="shared" si="3"/>
        <v>6</v>
      </c>
      <c r="AR22" s="272">
        <f t="shared" si="3"/>
        <v>7</v>
      </c>
      <c r="AS22" s="272">
        <f t="shared" si="3"/>
        <v>7</v>
      </c>
      <c r="AT22" s="272">
        <f t="shared" si="3"/>
        <v>6</v>
      </c>
      <c r="AU22" s="272">
        <f t="shared" si="3"/>
        <v>4</v>
      </c>
      <c r="AV22" s="272">
        <f t="shared" si="3"/>
        <v>6</v>
      </c>
      <c r="AW22" s="272">
        <f t="shared" si="3"/>
        <v>4</v>
      </c>
      <c r="AX22" s="272">
        <f t="shared" si="3"/>
        <v>4</v>
      </c>
      <c r="AY22" s="272">
        <f t="shared" si="3"/>
        <v>4</v>
      </c>
      <c r="AZ22" s="261"/>
      <c r="BA22" s="261"/>
      <c r="BB22" s="261"/>
      <c r="BC22" s="261"/>
      <c r="BD22" s="261"/>
      <c r="BE22" s="261"/>
      <c r="BF22" s="261"/>
      <c r="BG22" s="261"/>
      <c r="BH22" s="261"/>
    </row>
    <row r="23" spans="1:60" ht="18" thickBot="1">
      <c r="A23" s="258" t="s">
        <v>334</v>
      </c>
      <c r="AK23" s="260" t="s">
        <v>408</v>
      </c>
      <c r="AL23" s="260" t="s">
        <v>400</v>
      </c>
      <c r="AM23" s="260" t="s">
        <v>400</v>
      </c>
      <c r="AN23" s="260" t="s">
        <v>400</v>
      </c>
      <c r="AO23" s="261" t="s">
        <v>401</v>
      </c>
      <c r="AP23" s="260"/>
      <c r="AQ23" s="260"/>
      <c r="AR23" s="260"/>
      <c r="AS23" s="260" t="s">
        <v>399</v>
      </c>
      <c r="AT23" s="260" t="s">
        <v>402</v>
      </c>
      <c r="AU23" s="260" t="s">
        <v>403</v>
      </c>
      <c r="AV23" s="260" t="s">
        <v>399</v>
      </c>
      <c r="AW23" s="260" t="s">
        <v>411</v>
      </c>
      <c r="AX23" s="260" t="s">
        <v>404</v>
      </c>
      <c r="AY23" s="260" t="s">
        <v>412</v>
      </c>
      <c r="AZ23" s="260"/>
      <c r="BA23" s="260"/>
      <c r="BB23" s="260"/>
      <c r="BC23" s="261"/>
      <c r="BD23" s="261"/>
      <c r="BE23" s="261"/>
      <c r="BF23" s="261"/>
      <c r="BG23" s="261"/>
      <c r="BH23" s="261"/>
    </row>
    <row r="24" spans="1:60" ht="18" thickBot="1">
      <c r="A24" s="258" t="s">
        <v>335</v>
      </c>
      <c r="AK24" s="261" t="s">
        <v>423</v>
      </c>
      <c r="AL24" s="261" t="s">
        <v>425</v>
      </c>
      <c r="AM24" s="261" t="s">
        <v>427</v>
      </c>
      <c r="AN24" s="261" t="s">
        <v>398</v>
      </c>
      <c r="AO24" s="261" t="s">
        <v>429</v>
      </c>
      <c r="AP24" s="261" t="s">
        <v>431</v>
      </c>
      <c r="AQ24" s="261" t="s">
        <v>398</v>
      </c>
      <c r="AR24" s="261" t="s">
        <v>398</v>
      </c>
      <c r="AS24" s="261" t="s">
        <v>398</v>
      </c>
      <c r="AT24" s="261" t="s">
        <v>398</v>
      </c>
      <c r="AU24" s="261"/>
      <c r="AV24" s="261" t="s">
        <v>433</v>
      </c>
      <c r="AW24" s="260" t="s">
        <v>435</v>
      </c>
      <c r="AX24" s="261"/>
      <c r="AY24" s="261"/>
      <c r="AZ24" s="261"/>
      <c r="BA24" s="261"/>
      <c r="BB24" s="261"/>
      <c r="BC24" s="261"/>
      <c r="BD24" s="261"/>
      <c r="BE24" s="261"/>
      <c r="BF24" s="261"/>
      <c r="BG24" s="261"/>
      <c r="BH24" s="261"/>
    </row>
    <row r="25" spans="1:60" ht="18" thickBot="1">
      <c r="A25" s="258" t="s">
        <v>336</v>
      </c>
      <c r="AK25" s="261" t="s">
        <v>406</v>
      </c>
      <c r="AL25" s="261" t="s">
        <v>406</v>
      </c>
      <c r="AM25" s="261" t="s">
        <v>406</v>
      </c>
      <c r="AN25" s="261" t="s">
        <v>406</v>
      </c>
      <c r="AO25" s="261" t="s">
        <v>407</v>
      </c>
      <c r="AP25" s="261" t="s">
        <v>407</v>
      </c>
      <c r="AQ25" s="261" t="s">
        <v>407</v>
      </c>
      <c r="AR25" s="261" t="s">
        <v>407</v>
      </c>
      <c r="AS25" s="261" t="s">
        <v>407</v>
      </c>
      <c r="AT25" s="261" t="s">
        <v>407</v>
      </c>
      <c r="AU25" s="261" t="s">
        <v>407</v>
      </c>
      <c r="AV25" s="261" t="s">
        <v>407</v>
      </c>
      <c r="AW25" s="261"/>
      <c r="AX25" s="261"/>
      <c r="AY25" s="260" t="s">
        <v>413</v>
      </c>
      <c r="AZ25" s="261"/>
      <c r="BA25" s="261"/>
      <c r="BB25" s="261"/>
      <c r="BC25" s="261"/>
      <c r="BD25" s="261"/>
      <c r="BE25" s="261"/>
      <c r="BF25" s="261"/>
      <c r="BG25" s="261"/>
      <c r="BH25" s="261"/>
    </row>
    <row r="26" spans="1:60" ht="18" thickBot="1">
      <c r="A26" s="258" t="s">
        <v>337</v>
      </c>
      <c r="AK26" s="261" t="s">
        <v>416</v>
      </c>
      <c r="AL26" s="261"/>
      <c r="AM26" s="261" t="s">
        <v>418</v>
      </c>
      <c r="AN26" s="261"/>
      <c r="AO26" s="261"/>
      <c r="AP26" s="261" t="s">
        <v>415</v>
      </c>
      <c r="AQ26" s="261" t="s">
        <v>415</v>
      </c>
      <c r="AR26" s="261" t="s">
        <v>420</v>
      </c>
      <c r="AS26" s="260" t="s">
        <v>421</v>
      </c>
      <c r="AT26" s="261"/>
      <c r="AU26" s="261"/>
      <c r="AV26" s="261"/>
      <c r="AW26" s="261"/>
      <c r="AX26" s="261"/>
      <c r="AY26" s="261"/>
      <c r="AZ26" s="261"/>
      <c r="BA26" s="261"/>
      <c r="BB26" s="261"/>
      <c r="BC26" s="261"/>
      <c r="BD26" s="261"/>
      <c r="BE26" s="261"/>
      <c r="BF26" s="261"/>
      <c r="BG26" s="261"/>
      <c r="BH26" s="261"/>
    </row>
    <row r="27" spans="1:60" ht="18" thickBot="1">
      <c r="A27" s="258" t="s">
        <v>338</v>
      </c>
      <c r="AK27" s="261" t="s">
        <v>409</v>
      </c>
      <c r="AL27" s="261"/>
      <c r="AM27" s="261"/>
      <c r="AN27" s="261"/>
      <c r="AO27" s="261"/>
      <c r="AP27" s="261" t="s">
        <v>415</v>
      </c>
      <c r="AQ27" s="261" t="s">
        <v>415</v>
      </c>
      <c r="AR27" s="261" t="s">
        <v>415</v>
      </c>
      <c r="AS27" s="261"/>
      <c r="AT27" s="261"/>
      <c r="AU27" s="261"/>
      <c r="AV27" s="261"/>
      <c r="AW27" s="261"/>
      <c r="AX27" s="260" t="s">
        <v>410</v>
      </c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</row>
    <row r="28" spans="1:60" ht="18" thickBot="1">
      <c r="A28" s="258" t="s">
        <v>339</v>
      </c>
      <c r="AK28" s="260" t="s">
        <v>417</v>
      </c>
      <c r="AL28" s="260" t="s">
        <v>400</v>
      </c>
      <c r="AM28" s="260" t="s">
        <v>419</v>
      </c>
      <c r="AN28" s="260" t="s">
        <v>400</v>
      </c>
      <c r="AO28" s="261" t="s">
        <v>401</v>
      </c>
      <c r="AP28" s="260"/>
      <c r="AQ28" s="260"/>
      <c r="AR28" s="260" t="s">
        <v>421</v>
      </c>
      <c r="AS28" s="260" t="s">
        <v>422</v>
      </c>
      <c r="AT28" s="260" t="s">
        <v>402</v>
      </c>
      <c r="AU28" s="260" t="s">
        <v>403</v>
      </c>
      <c r="AV28" s="260" t="s">
        <v>399</v>
      </c>
      <c r="AW28" s="260" t="s">
        <v>404</v>
      </c>
      <c r="AX28" s="260" t="s">
        <v>404</v>
      </c>
      <c r="AY28" s="260" t="s">
        <v>405</v>
      </c>
      <c r="AZ28" s="260"/>
      <c r="BA28" s="260"/>
      <c r="BB28" s="260"/>
      <c r="BC28" s="261"/>
      <c r="BD28" s="261"/>
      <c r="BE28" s="261"/>
      <c r="BF28" s="261"/>
      <c r="BG28" s="261"/>
      <c r="BH28" s="261"/>
    </row>
    <row r="29" spans="1:60" ht="18" thickBot="1">
      <c r="A29" s="258" t="s">
        <v>340</v>
      </c>
      <c r="AK29" s="261" t="s">
        <v>424</v>
      </c>
      <c r="AL29" s="261" t="s">
        <v>426</v>
      </c>
      <c r="AM29" s="261" t="s">
        <v>428</v>
      </c>
      <c r="AN29" s="261" t="s">
        <v>406</v>
      </c>
      <c r="AO29" s="261" t="s">
        <v>430</v>
      </c>
      <c r="AP29" s="261" t="s">
        <v>432</v>
      </c>
      <c r="AQ29" s="261" t="s">
        <v>407</v>
      </c>
      <c r="AR29" s="261" t="s">
        <v>407</v>
      </c>
      <c r="AS29" s="261" t="s">
        <v>407</v>
      </c>
      <c r="AT29" s="261" t="s">
        <v>407</v>
      </c>
      <c r="AU29" s="261" t="s">
        <v>407</v>
      </c>
      <c r="AV29" s="261" t="s">
        <v>434</v>
      </c>
      <c r="AW29" s="261" t="s">
        <v>436</v>
      </c>
      <c r="AX29" s="261"/>
      <c r="AY29" s="261" t="s">
        <v>414</v>
      </c>
      <c r="AZ29" s="261"/>
      <c r="BA29" s="261"/>
      <c r="BB29" s="261"/>
      <c r="BC29" s="261"/>
      <c r="BD29" s="261"/>
      <c r="BE29" s="261"/>
      <c r="BF29" s="261"/>
      <c r="BG29" s="261"/>
      <c r="BH29" s="261"/>
    </row>
    <row r="30" spans="1:60" ht="18" thickBot="1">
      <c r="A30" s="258" t="s">
        <v>341</v>
      </c>
      <c r="AK30" s="261" t="s">
        <v>409</v>
      </c>
      <c r="AL30" s="261"/>
      <c r="AM30" s="261"/>
      <c r="AN30" s="261"/>
      <c r="AO30" s="261"/>
      <c r="AP30" s="261"/>
      <c r="AQ30" s="261"/>
      <c r="AR30" s="261"/>
      <c r="AS30" s="261"/>
      <c r="AT30" s="261"/>
      <c r="AU30" s="261"/>
      <c r="AV30" s="261" t="s">
        <v>410</v>
      </c>
      <c r="AW30" s="261"/>
      <c r="AX30" s="260" t="s">
        <v>410</v>
      </c>
      <c r="AY30" s="261"/>
      <c r="AZ30" s="261"/>
      <c r="BA30" s="261"/>
      <c r="BB30" s="261"/>
      <c r="BC30" s="261"/>
      <c r="BD30" s="261"/>
      <c r="BE30" s="261"/>
      <c r="BF30" s="261"/>
      <c r="BG30" s="261"/>
      <c r="BH30" s="261"/>
    </row>
    <row r="31" spans="1:60" ht="18" thickBot="1">
      <c r="A31" s="258" t="s">
        <v>342</v>
      </c>
      <c r="AK31" s="261"/>
      <c r="AL31" s="261"/>
      <c r="AM31" s="261"/>
      <c r="AN31" s="261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</row>
    <row r="32" spans="1:60" ht="18" thickBot="1">
      <c r="A32" s="258" t="s">
        <v>343</v>
      </c>
      <c r="AK32" s="261"/>
      <c r="AL32" s="261"/>
      <c r="AM32" s="261" t="s">
        <v>398</v>
      </c>
      <c r="AN32" s="261" t="s">
        <v>398</v>
      </c>
      <c r="AO32" s="261" t="s">
        <v>398</v>
      </c>
      <c r="AP32" s="261" t="s">
        <v>398</v>
      </c>
      <c r="AQ32" s="261" t="s">
        <v>398</v>
      </c>
      <c r="AR32" s="261" t="s">
        <v>398</v>
      </c>
      <c r="AS32" s="261" t="s">
        <v>398</v>
      </c>
      <c r="AT32" s="261" t="s">
        <v>398</v>
      </c>
      <c r="AU32" s="261"/>
      <c r="AV32" s="261"/>
      <c r="AW32" s="261"/>
      <c r="AX32" s="261"/>
      <c r="AY32" s="261"/>
      <c r="AZ32" s="261"/>
      <c r="BA32" s="261"/>
      <c r="BB32" s="261"/>
      <c r="BC32" s="261"/>
      <c r="BD32" s="261"/>
      <c r="BE32" s="261"/>
      <c r="BF32" s="261"/>
      <c r="BG32" s="261"/>
      <c r="BH32" s="261"/>
    </row>
    <row r="33" spans="1:60" ht="17" thickBot="1">
      <c r="A33" s="259">
        <v>45301</v>
      </c>
      <c r="AK33" s="261"/>
      <c r="AL33" s="261"/>
      <c r="AM33" s="261"/>
      <c r="AN33" s="261"/>
      <c r="AO33" s="261"/>
      <c r="AP33" s="261"/>
      <c r="AQ33" s="261"/>
      <c r="AR33" s="261"/>
      <c r="AS33" s="261"/>
      <c r="AT33" s="261"/>
      <c r="AU33" s="261"/>
      <c r="AV33" s="261"/>
      <c r="AW33" s="261"/>
      <c r="AX33" s="261"/>
      <c r="AY33" s="261"/>
      <c r="AZ33" s="261"/>
      <c r="BA33" s="261"/>
      <c r="BB33" s="261"/>
      <c r="BC33" s="261"/>
      <c r="BD33" s="261"/>
      <c r="BE33" s="261"/>
      <c r="BF33" s="261"/>
      <c r="BG33" s="261"/>
      <c r="BH33" s="261"/>
    </row>
    <row r="36" spans="1:60" ht="29" thickBot="1">
      <c r="A36" s="4" t="s">
        <v>39</v>
      </c>
      <c r="AK36" s="273">
        <f>COUNTA(AK37:AK48)</f>
        <v>5</v>
      </c>
      <c r="AL36" s="273">
        <f t="shared" ref="AL36:AY36" si="4">COUNTA(AL37:AL48)</f>
        <v>3</v>
      </c>
      <c r="AM36" s="273">
        <f t="shared" si="4"/>
        <v>5</v>
      </c>
      <c r="AN36" s="273">
        <f t="shared" si="4"/>
        <v>3</v>
      </c>
      <c r="AO36" s="273">
        <f t="shared" si="4"/>
        <v>4</v>
      </c>
      <c r="AP36" s="273">
        <f t="shared" si="4"/>
        <v>4</v>
      </c>
      <c r="AQ36" s="273">
        <f t="shared" si="4"/>
        <v>3</v>
      </c>
      <c r="AR36" s="273">
        <f t="shared" si="4"/>
        <v>4</v>
      </c>
      <c r="AS36" s="273">
        <f t="shared" si="4"/>
        <v>4</v>
      </c>
      <c r="AT36" s="273">
        <f t="shared" si="4"/>
        <v>3</v>
      </c>
      <c r="AU36" s="273">
        <f t="shared" si="4"/>
        <v>3</v>
      </c>
      <c r="AV36" s="273">
        <f t="shared" si="4"/>
        <v>4</v>
      </c>
      <c r="AW36" s="273">
        <f t="shared" si="4"/>
        <v>3</v>
      </c>
      <c r="AX36" s="273">
        <f t="shared" si="4"/>
        <v>2</v>
      </c>
      <c r="AY36" s="273">
        <f t="shared" si="4"/>
        <v>3</v>
      </c>
    </row>
    <row r="37" spans="1:60" ht="28">
      <c r="A37" s="17" t="s">
        <v>42</v>
      </c>
      <c r="AK37" s="11" t="s">
        <v>48</v>
      </c>
      <c r="AV37" s="25" t="s">
        <v>49</v>
      </c>
      <c r="AW37" s="25" t="s">
        <v>49</v>
      </c>
      <c r="AX37" s="25" t="s">
        <v>49</v>
      </c>
      <c r="AY37" s="25" t="s">
        <v>49</v>
      </c>
    </row>
    <row r="38" spans="1:60" ht="29" thickBot="1">
      <c r="A38" s="17" t="s">
        <v>72</v>
      </c>
    </row>
    <row r="39" spans="1:60" ht="29" thickBot="1">
      <c r="A39" s="17" t="s">
        <v>99</v>
      </c>
      <c r="AT39" s="44" t="s">
        <v>63</v>
      </c>
      <c r="AU39" s="28" t="s">
        <v>107</v>
      </c>
      <c r="AW39" s="44" t="s">
        <v>63</v>
      </c>
      <c r="AX39" s="44" t="s">
        <v>63</v>
      </c>
      <c r="AY39" s="29" t="s">
        <v>108</v>
      </c>
    </row>
    <row r="40" spans="1:60" ht="29" thickBot="1">
      <c r="A40" s="17" t="s">
        <v>99</v>
      </c>
      <c r="AK40" s="66" t="s">
        <v>63</v>
      </c>
      <c r="AL40" s="66" t="s">
        <v>63</v>
      </c>
      <c r="AM40" s="66" t="s">
        <v>63</v>
      </c>
      <c r="AN40" s="66" t="s">
        <v>63</v>
      </c>
      <c r="AO40" s="27" t="s">
        <v>106</v>
      </c>
      <c r="AS40" s="65" t="s">
        <v>105</v>
      </c>
      <c r="AT40" s="65" t="s">
        <v>105</v>
      </c>
      <c r="AU40" s="65" t="s">
        <v>105</v>
      </c>
      <c r="AV40" s="65" t="s">
        <v>105</v>
      </c>
    </row>
    <row r="41" spans="1:60" ht="28">
      <c r="A41" s="17" t="s">
        <v>140</v>
      </c>
      <c r="AM41" s="65" t="s">
        <v>142</v>
      </c>
      <c r="AN41" s="65" t="s">
        <v>142</v>
      </c>
      <c r="AO41" s="65" t="s">
        <v>142</v>
      </c>
      <c r="AP41" s="65" t="s">
        <v>142</v>
      </c>
      <c r="AQ41" s="65" t="s">
        <v>142</v>
      </c>
      <c r="AR41" s="65" t="s">
        <v>142</v>
      </c>
      <c r="AS41" s="65" t="s">
        <v>142</v>
      </c>
    </row>
    <row r="42" spans="1:60" ht="29" thickBot="1">
      <c r="A42" s="17" t="s">
        <v>157</v>
      </c>
      <c r="AK42" s="16" t="s">
        <v>49</v>
      </c>
      <c r="AL42" s="16" t="s">
        <v>49</v>
      </c>
      <c r="AM42" s="16" t="s">
        <v>49</v>
      </c>
      <c r="AN42" s="16" t="s">
        <v>49</v>
      </c>
      <c r="AO42" s="46" t="s">
        <v>49</v>
      </c>
      <c r="AP42" s="46" t="s">
        <v>49</v>
      </c>
      <c r="AQ42" s="46" t="s">
        <v>49</v>
      </c>
      <c r="AR42" s="46" t="s">
        <v>49</v>
      </c>
      <c r="AS42" s="46" t="s">
        <v>49</v>
      </c>
      <c r="AT42" s="46" t="s">
        <v>49</v>
      </c>
      <c r="AU42" s="46" t="s">
        <v>49</v>
      </c>
      <c r="AV42" s="46" t="s">
        <v>49</v>
      </c>
      <c r="AY42" s="46" t="s">
        <v>49</v>
      </c>
    </row>
    <row r="43" spans="1:60" ht="29" thickBot="1">
      <c r="A43" s="17" t="s">
        <v>184</v>
      </c>
      <c r="AP43" s="34" t="s">
        <v>185</v>
      </c>
      <c r="AQ43" s="47" t="s">
        <v>186</v>
      </c>
      <c r="AR43" s="48" t="s">
        <v>186</v>
      </c>
    </row>
    <row r="44" spans="1:60" ht="29" thickBot="1">
      <c r="A44" s="17" t="s">
        <v>202</v>
      </c>
      <c r="AK44" s="11" t="s">
        <v>203</v>
      </c>
      <c r="AM44" s="34" t="s">
        <v>204</v>
      </c>
      <c r="AR44" s="35" t="s">
        <v>126</v>
      </c>
      <c r="AS44" s="36" t="s">
        <v>126</v>
      </c>
    </row>
    <row r="45" spans="1:60" ht="29" thickBot="1">
      <c r="A45" s="17" t="s">
        <v>215</v>
      </c>
      <c r="AK45" s="11" t="s">
        <v>58</v>
      </c>
      <c r="AL45" s="14" t="s">
        <v>216</v>
      </c>
      <c r="AM45" s="30" t="s">
        <v>45</v>
      </c>
      <c r="AO45" s="33" t="s">
        <v>217</v>
      </c>
      <c r="AP45" s="31" t="s">
        <v>218</v>
      </c>
      <c r="AV45" s="45" t="s">
        <v>219</v>
      </c>
      <c r="AW45" s="45" t="s">
        <v>219</v>
      </c>
    </row>
    <row r="46" spans="1:60" ht="28">
      <c r="A46" s="17" t="s">
        <v>222</v>
      </c>
    </row>
    <row r="47" spans="1:60" ht="28">
      <c r="A47" s="173" t="s">
        <v>236</v>
      </c>
    </row>
    <row r="48" spans="1:60" ht="29" thickBot="1">
      <c r="A48" s="155" t="s">
        <v>237</v>
      </c>
    </row>
    <row r="49" spans="1:51" ht="29" thickTop="1">
      <c r="A49" s="275"/>
    </row>
    <row r="50" spans="1:51" ht="28">
      <c r="A50" s="4" t="s">
        <v>283</v>
      </c>
    </row>
    <row r="51" spans="1:51" ht="23">
      <c r="A51" s="78" t="s">
        <v>284</v>
      </c>
      <c r="AK51" s="274">
        <f>AK52/26</f>
        <v>0.96153846153846156</v>
      </c>
      <c r="AL51" s="274">
        <f t="shared" ref="AL51:AY51" si="5">AL52/26</f>
        <v>0.5</v>
      </c>
      <c r="AM51" s="274">
        <f t="shared" si="5"/>
        <v>0.80769230769230771</v>
      </c>
      <c r="AN51" s="274">
        <f t="shared" si="5"/>
        <v>0.73076923076923073</v>
      </c>
      <c r="AO51" s="274">
        <f t="shared" si="5"/>
        <v>0.76923076923076927</v>
      </c>
      <c r="AP51" s="274">
        <f t="shared" si="5"/>
        <v>0.57692307692307687</v>
      </c>
      <c r="AQ51" s="274">
        <f t="shared" si="5"/>
        <v>0.53846153846153844</v>
      </c>
      <c r="AR51" s="274">
        <f t="shared" si="5"/>
        <v>0.57692307692307687</v>
      </c>
      <c r="AS51" s="274">
        <f t="shared" si="5"/>
        <v>0.76923076923076927</v>
      </c>
      <c r="AT51" s="274">
        <f t="shared" si="5"/>
        <v>0.73076923076923073</v>
      </c>
      <c r="AU51" s="274">
        <f t="shared" si="5"/>
        <v>0.46153846153846156</v>
      </c>
      <c r="AV51" s="274">
        <f t="shared" si="5"/>
        <v>0.92307692307692313</v>
      </c>
      <c r="AW51" s="274">
        <f t="shared" si="5"/>
        <v>0.88461538461538458</v>
      </c>
      <c r="AX51" s="274">
        <f t="shared" si="5"/>
        <v>0.84615384615384615</v>
      </c>
      <c r="AY51" s="274">
        <f t="shared" si="5"/>
        <v>0.88461538461538458</v>
      </c>
    </row>
    <row r="52" spans="1:51">
      <c r="AK52">
        <f>COUNTA(AK53:AK105)</f>
        <v>25</v>
      </c>
      <c r="AL52">
        <f t="shared" ref="AL52:AY52" si="6">COUNTA(AL53:AL105)</f>
        <v>13</v>
      </c>
      <c r="AM52">
        <f t="shared" si="6"/>
        <v>21</v>
      </c>
      <c r="AN52">
        <f t="shared" si="6"/>
        <v>19</v>
      </c>
      <c r="AO52">
        <f t="shared" si="6"/>
        <v>20</v>
      </c>
      <c r="AP52">
        <f t="shared" si="6"/>
        <v>15</v>
      </c>
      <c r="AQ52">
        <f t="shared" si="6"/>
        <v>14</v>
      </c>
      <c r="AR52">
        <f t="shared" si="6"/>
        <v>15</v>
      </c>
      <c r="AS52">
        <f t="shared" si="6"/>
        <v>20</v>
      </c>
      <c r="AT52">
        <f t="shared" si="6"/>
        <v>19</v>
      </c>
      <c r="AU52">
        <f t="shared" si="6"/>
        <v>12</v>
      </c>
      <c r="AV52">
        <f t="shared" si="6"/>
        <v>24</v>
      </c>
      <c r="AW52">
        <f t="shared" si="6"/>
        <v>23</v>
      </c>
      <c r="AX52">
        <f t="shared" si="6"/>
        <v>22</v>
      </c>
      <c r="AY52">
        <f t="shared" si="6"/>
        <v>23</v>
      </c>
    </row>
    <row r="53" spans="1:51">
      <c r="A53" t="s">
        <v>286</v>
      </c>
      <c r="AK53" s="266" t="s">
        <v>272</v>
      </c>
      <c r="AL53" s="266" t="s">
        <v>272</v>
      </c>
      <c r="AM53" s="266" t="s">
        <v>272</v>
      </c>
      <c r="AN53" s="266" t="s">
        <v>272</v>
      </c>
      <c r="AO53" s="266" t="s">
        <v>272</v>
      </c>
      <c r="AQ53" s="266"/>
      <c r="AS53" s="266" t="s">
        <v>272</v>
      </c>
      <c r="AT53" s="266" t="s">
        <v>272</v>
      </c>
      <c r="AU53" s="266" t="s">
        <v>272</v>
      </c>
      <c r="AV53" s="266" t="s">
        <v>272</v>
      </c>
      <c r="AW53" s="266" t="s">
        <v>272</v>
      </c>
      <c r="AX53" s="266" t="s">
        <v>272</v>
      </c>
      <c r="AY53" s="266" t="s">
        <v>272</v>
      </c>
    </row>
    <row r="54" spans="1:51">
      <c r="A54" t="s">
        <v>288</v>
      </c>
      <c r="AK54" s="266"/>
      <c r="AL54" s="266"/>
      <c r="AM54" s="266"/>
      <c r="AN54" s="266"/>
      <c r="AO54" s="266"/>
      <c r="AQ54" s="266"/>
      <c r="AS54" s="266"/>
      <c r="AT54" s="266"/>
      <c r="AU54" s="266"/>
      <c r="AV54" s="266"/>
      <c r="AW54" s="266"/>
      <c r="AX54" s="266"/>
      <c r="AY54" s="266"/>
    </row>
    <row r="55" spans="1:51">
      <c r="A55" t="s">
        <v>289</v>
      </c>
      <c r="AK55" s="266" t="s">
        <v>272</v>
      </c>
      <c r="AL55" s="266" t="s">
        <v>272</v>
      </c>
      <c r="AM55" s="266" t="s">
        <v>272</v>
      </c>
      <c r="AN55" s="266" t="s">
        <v>272</v>
      </c>
      <c r="AO55" s="266" t="s">
        <v>272</v>
      </c>
      <c r="AP55" s="266" t="s">
        <v>253</v>
      </c>
      <c r="AQ55" s="266" t="s">
        <v>253</v>
      </c>
      <c r="AR55" s="266" t="s">
        <v>253</v>
      </c>
      <c r="AS55" s="266" t="s">
        <v>272</v>
      </c>
      <c r="AT55" s="266" t="s">
        <v>272</v>
      </c>
      <c r="AU55" s="266" t="s">
        <v>272</v>
      </c>
      <c r="AV55" s="266" t="s">
        <v>272</v>
      </c>
      <c r="AW55" s="266" t="s">
        <v>272</v>
      </c>
      <c r="AX55" s="266" t="s">
        <v>272</v>
      </c>
      <c r="AY55" s="266" t="s">
        <v>272</v>
      </c>
    </row>
    <row r="56" spans="1:51">
      <c r="A56" t="s">
        <v>290</v>
      </c>
      <c r="AK56" s="266" t="s">
        <v>272</v>
      </c>
      <c r="AL56" s="266" t="s">
        <v>272</v>
      </c>
      <c r="AM56" s="266" t="s">
        <v>272</v>
      </c>
      <c r="AN56" s="266" t="s">
        <v>272</v>
      </c>
      <c r="AO56" s="266" t="s">
        <v>272</v>
      </c>
      <c r="AS56" s="266" t="s">
        <v>272</v>
      </c>
      <c r="AT56" s="266" t="s">
        <v>272</v>
      </c>
      <c r="AU56" s="266" t="s">
        <v>272</v>
      </c>
      <c r="AV56" s="266" t="s">
        <v>272</v>
      </c>
      <c r="AW56" s="266" t="s">
        <v>272</v>
      </c>
      <c r="AX56" s="266" t="s">
        <v>272</v>
      </c>
      <c r="AY56" s="266" t="s">
        <v>272</v>
      </c>
    </row>
    <row r="57" spans="1:51">
      <c r="A57" t="s">
        <v>292</v>
      </c>
      <c r="AK57" s="266" t="s">
        <v>272</v>
      </c>
      <c r="AL57" s="266" t="s">
        <v>272</v>
      </c>
      <c r="AM57" s="266" t="s">
        <v>272</v>
      </c>
      <c r="AN57" s="266" t="s">
        <v>272</v>
      </c>
      <c r="AO57" s="266" t="s">
        <v>272</v>
      </c>
      <c r="AS57" s="266" t="s">
        <v>272</v>
      </c>
      <c r="AT57" s="266" t="s">
        <v>272</v>
      </c>
      <c r="AU57" s="266" t="s">
        <v>272</v>
      </c>
      <c r="AV57" s="266" t="s">
        <v>272</v>
      </c>
      <c r="AW57" s="266" t="s">
        <v>272</v>
      </c>
      <c r="AX57" s="266" t="s">
        <v>272</v>
      </c>
      <c r="AY57" s="266" t="s">
        <v>272</v>
      </c>
    </row>
    <row r="58" spans="1:51">
      <c r="A58" t="s">
        <v>293</v>
      </c>
      <c r="AK58" s="266"/>
      <c r="AL58" s="266"/>
      <c r="AM58" s="266"/>
      <c r="AN58" s="266"/>
      <c r="AO58" s="266"/>
      <c r="AP58" t="s">
        <v>253</v>
      </c>
      <c r="AQ58" t="s">
        <v>253</v>
      </c>
      <c r="AR58" t="s">
        <v>253</v>
      </c>
      <c r="AS58" s="266"/>
      <c r="AT58" s="266"/>
      <c r="AU58" s="266"/>
      <c r="AV58" s="266"/>
      <c r="AW58" s="266"/>
      <c r="AX58" s="266"/>
      <c r="AY58" s="266"/>
    </row>
    <row r="59" spans="1:51">
      <c r="A59" t="s">
        <v>294</v>
      </c>
      <c r="AK59" s="266"/>
      <c r="AL59" s="266"/>
      <c r="AM59" s="266"/>
      <c r="AN59" s="266"/>
      <c r="AO59" s="266"/>
      <c r="AS59" s="266"/>
      <c r="AT59" s="266"/>
      <c r="AU59" s="266"/>
      <c r="AV59" s="266"/>
      <c r="AW59" s="266"/>
      <c r="AX59" s="266"/>
      <c r="AY59" s="266"/>
    </row>
    <row r="60" spans="1:51">
      <c r="A60" t="s">
        <v>295</v>
      </c>
      <c r="AK60" s="266" t="s">
        <v>272</v>
      </c>
      <c r="AL60" s="266" t="s">
        <v>272</v>
      </c>
      <c r="AM60" s="266" t="s">
        <v>272</v>
      </c>
      <c r="AN60" s="266" t="s">
        <v>272</v>
      </c>
      <c r="AO60" s="266" t="s">
        <v>272</v>
      </c>
      <c r="AS60" s="266" t="s">
        <v>272</v>
      </c>
      <c r="AT60" s="266" t="s">
        <v>272</v>
      </c>
      <c r="AU60" s="266" t="s">
        <v>272</v>
      </c>
      <c r="AV60" s="266" t="s">
        <v>272</v>
      </c>
      <c r="AW60" s="266" t="s">
        <v>272</v>
      </c>
      <c r="AX60" s="266" t="s">
        <v>272</v>
      </c>
      <c r="AY60" s="266" t="s">
        <v>272</v>
      </c>
    </row>
    <row r="61" spans="1:51">
      <c r="A61" t="s">
        <v>296</v>
      </c>
      <c r="AK61" s="266"/>
      <c r="AL61" s="266"/>
      <c r="AM61" s="266"/>
      <c r="AN61" s="266"/>
      <c r="AO61" s="266"/>
      <c r="AS61" s="266"/>
      <c r="AT61" s="266"/>
      <c r="AU61" s="266"/>
      <c r="AV61" s="266"/>
      <c r="AW61" s="266"/>
      <c r="AX61" s="266"/>
      <c r="AY61" s="266"/>
    </row>
    <row r="62" spans="1:51">
      <c r="A62" t="s">
        <v>297</v>
      </c>
      <c r="AK62" s="266" t="s">
        <v>272</v>
      </c>
      <c r="AL62" s="266" t="s">
        <v>272</v>
      </c>
      <c r="AM62" s="266" t="s">
        <v>272</v>
      </c>
      <c r="AN62" s="266" t="s">
        <v>272</v>
      </c>
      <c r="AO62" s="266" t="s">
        <v>272</v>
      </c>
      <c r="AS62" s="266" t="s">
        <v>272</v>
      </c>
      <c r="AT62" s="266" t="s">
        <v>272</v>
      </c>
      <c r="AU62" s="266" t="s">
        <v>272</v>
      </c>
      <c r="AV62" s="266" t="s">
        <v>272</v>
      </c>
      <c r="AW62" s="266" t="s">
        <v>272</v>
      </c>
      <c r="AX62" s="266" t="s">
        <v>272</v>
      </c>
      <c r="AY62" s="266" t="s">
        <v>272</v>
      </c>
    </row>
    <row r="63" spans="1:51">
      <c r="A63" t="s">
        <v>298</v>
      </c>
    </row>
    <row r="64" spans="1:51">
      <c r="A64" t="s">
        <v>301</v>
      </c>
      <c r="AK64" s="266"/>
      <c r="AL64" s="266"/>
      <c r="AM64" s="266"/>
      <c r="AN64" s="266"/>
      <c r="AO64" s="266"/>
      <c r="AS64" s="266"/>
      <c r="AT64" s="266"/>
      <c r="AU64" s="266"/>
      <c r="AV64" s="266"/>
      <c r="AW64" s="266"/>
      <c r="AX64" s="266"/>
      <c r="AY64" s="266"/>
    </row>
    <row r="65" spans="1:51">
      <c r="A65" t="s">
        <v>302</v>
      </c>
      <c r="AK65" s="266" t="s">
        <v>272</v>
      </c>
      <c r="AL65" s="266" t="s">
        <v>272</v>
      </c>
      <c r="AM65" s="266" t="s">
        <v>272</v>
      </c>
      <c r="AN65" s="266" t="s">
        <v>272</v>
      </c>
      <c r="AO65" s="266" t="s">
        <v>272</v>
      </c>
      <c r="AS65" s="266" t="s">
        <v>272</v>
      </c>
      <c r="AT65" s="266" t="s">
        <v>272</v>
      </c>
      <c r="AU65" s="266" t="s">
        <v>272</v>
      </c>
      <c r="AV65" s="266" t="s">
        <v>272</v>
      </c>
      <c r="AW65" s="266" t="s">
        <v>272</v>
      </c>
      <c r="AX65" s="266" t="s">
        <v>272</v>
      </c>
      <c r="AY65" s="266" t="s">
        <v>272</v>
      </c>
    </row>
    <row r="66" spans="1:51">
      <c r="A66" t="s">
        <v>303</v>
      </c>
      <c r="AK66" s="266"/>
      <c r="AL66" s="266"/>
      <c r="AM66" s="266"/>
      <c r="AN66" s="266"/>
      <c r="AO66" s="266"/>
      <c r="AS66" s="266"/>
      <c r="AT66" s="266"/>
      <c r="AU66" s="266"/>
      <c r="AV66" s="266"/>
      <c r="AW66" s="266"/>
      <c r="AX66" s="266"/>
      <c r="AY66" s="266"/>
    </row>
    <row r="67" spans="1:51">
      <c r="A67" t="s">
        <v>304</v>
      </c>
      <c r="AK67" s="266" t="s">
        <v>272</v>
      </c>
      <c r="AL67" s="266" t="s">
        <v>272</v>
      </c>
      <c r="AM67" s="266" t="s">
        <v>272</v>
      </c>
      <c r="AN67" s="266" t="s">
        <v>272</v>
      </c>
      <c r="AO67" s="266" t="s">
        <v>272</v>
      </c>
      <c r="AP67" s="266" t="s">
        <v>253</v>
      </c>
      <c r="AQ67" s="266" t="s">
        <v>253</v>
      </c>
      <c r="AR67" s="266" t="s">
        <v>253</v>
      </c>
      <c r="AS67" s="266" t="s">
        <v>272</v>
      </c>
      <c r="AT67" s="266" t="s">
        <v>272</v>
      </c>
      <c r="AU67" s="266" t="s">
        <v>272</v>
      </c>
      <c r="AV67" s="266" t="s">
        <v>272</v>
      </c>
      <c r="AW67" s="266" t="s">
        <v>272</v>
      </c>
      <c r="AX67" s="266" t="s">
        <v>272</v>
      </c>
      <c r="AY67" s="266" t="s">
        <v>272</v>
      </c>
    </row>
    <row r="68" spans="1:51">
      <c r="A68" t="s">
        <v>306</v>
      </c>
      <c r="AK68" s="266" t="s">
        <v>272</v>
      </c>
      <c r="AL68" s="266" t="s">
        <v>272</v>
      </c>
      <c r="AM68" s="266" t="s">
        <v>272</v>
      </c>
      <c r="AN68" s="266" t="s">
        <v>272</v>
      </c>
      <c r="AO68" s="266" t="s">
        <v>272</v>
      </c>
      <c r="AP68" s="266" t="s">
        <v>253</v>
      </c>
      <c r="AQ68" s="266" t="s">
        <v>253</v>
      </c>
      <c r="AR68" s="266" t="s">
        <v>253</v>
      </c>
      <c r="AS68" s="266" t="s">
        <v>272</v>
      </c>
      <c r="AT68" s="266" t="s">
        <v>272</v>
      </c>
      <c r="AU68" s="266" t="s">
        <v>272</v>
      </c>
      <c r="AV68" s="266" t="s">
        <v>272</v>
      </c>
      <c r="AW68" s="266" t="s">
        <v>272</v>
      </c>
      <c r="AX68" s="266" t="s">
        <v>272</v>
      </c>
      <c r="AY68" s="266" t="s">
        <v>272</v>
      </c>
    </row>
    <row r="69" spans="1:51">
      <c r="A69" t="s">
        <v>307</v>
      </c>
      <c r="AK69" s="266"/>
      <c r="AL69" s="266"/>
      <c r="AM69" s="266"/>
      <c r="AN69" s="266"/>
      <c r="AO69" s="266"/>
      <c r="AS69" s="266"/>
      <c r="AT69" s="266"/>
      <c r="AU69" s="266"/>
      <c r="AV69" s="266"/>
      <c r="AW69" s="266"/>
      <c r="AX69" s="266"/>
      <c r="AY69" s="266"/>
    </row>
    <row r="70" spans="1:51">
      <c r="A70" t="s">
        <v>308</v>
      </c>
      <c r="AK70" s="266" t="s">
        <v>272</v>
      </c>
      <c r="AL70" s="266" t="s">
        <v>272</v>
      </c>
      <c r="AM70" s="266" t="s">
        <v>272</v>
      </c>
      <c r="AN70" s="266" t="s">
        <v>272</v>
      </c>
      <c r="AO70" s="266" t="s">
        <v>272</v>
      </c>
      <c r="AP70" s="266" t="s">
        <v>253</v>
      </c>
      <c r="AQ70" s="266" t="s">
        <v>253</v>
      </c>
      <c r="AR70" s="266" t="s">
        <v>253</v>
      </c>
      <c r="AS70" s="266" t="s">
        <v>272</v>
      </c>
      <c r="AT70" s="266" t="s">
        <v>272</v>
      </c>
      <c r="AU70" s="266" t="s">
        <v>272</v>
      </c>
      <c r="AV70" s="266" t="s">
        <v>272</v>
      </c>
      <c r="AW70" s="266" t="s">
        <v>272</v>
      </c>
      <c r="AX70" s="266" t="s">
        <v>272</v>
      </c>
      <c r="AY70" s="266" t="s">
        <v>272</v>
      </c>
    </row>
    <row r="71" spans="1:51">
      <c r="A71" t="s">
        <v>309</v>
      </c>
      <c r="AK71" s="266" t="s">
        <v>272</v>
      </c>
      <c r="AL71" s="266" t="s">
        <v>272</v>
      </c>
      <c r="AM71" s="266" t="s">
        <v>272</v>
      </c>
      <c r="AN71" s="266" t="s">
        <v>272</v>
      </c>
      <c r="AO71" s="266" t="s">
        <v>272</v>
      </c>
      <c r="AS71" s="266" t="s">
        <v>272</v>
      </c>
      <c r="AT71" s="266" t="s">
        <v>272</v>
      </c>
      <c r="AU71" s="266" t="s">
        <v>272</v>
      </c>
      <c r="AV71" s="266" t="s">
        <v>272</v>
      </c>
      <c r="AW71" s="266" t="s">
        <v>272</v>
      </c>
      <c r="AX71" s="266" t="s">
        <v>272</v>
      </c>
      <c r="AY71" s="266" t="s">
        <v>272</v>
      </c>
    </row>
    <row r="72" spans="1:51">
      <c r="A72" t="s">
        <v>310</v>
      </c>
      <c r="AK72" s="266" t="s">
        <v>267</v>
      </c>
      <c r="AL72" s="266" t="s">
        <v>267</v>
      </c>
      <c r="AM72" s="266" t="s">
        <v>267</v>
      </c>
      <c r="AN72" s="266" t="s">
        <v>267</v>
      </c>
      <c r="AO72" s="266" t="s">
        <v>267</v>
      </c>
      <c r="AP72" s="266" t="s">
        <v>267</v>
      </c>
      <c r="AQ72" s="266" t="s">
        <v>267</v>
      </c>
      <c r="AR72" s="266" t="s">
        <v>267</v>
      </c>
      <c r="AS72" s="266" t="s">
        <v>267</v>
      </c>
      <c r="AT72" s="266" t="s">
        <v>267</v>
      </c>
      <c r="AU72" s="266" t="s">
        <v>267</v>
      </c>
      <c r="AV72" s="266" t="s">
        <v>267</v>
      </c>
      <c r="AY72" s="266" t="s">
        <v>267</v>
      </c>
    </row>
    <row r="73" spans="1:51">
      <c r="A73" t="s">
        <v>311</v>
      </c>
      <c r="AK73" s="266" t="s">
        <v>261</v>
      </c>
      <c r="AL73" s="266" t="s">
        <v>261</v>
      </c>
      <c r="AM73" s="266" t="s">
        <v>261</v>
      </c>
      <c r="AN73" s="266"/>
      <c r="AO73" s="266" t="s">
        <v>261</v>
      </c>
      <c r="AP73" s="266" t="s">
        <v>261</v>
      </c>
      <c r="AQ73" s="266"/>
      <c r="AR73" s="266"/>
      <c r="AV73" s="266" t="s">
        <v>261</v>
      </c>
      <c r="AW73" s="266" t="s">
        <v>261</v>
      </c>
    </row>
    <row r="74" spans="1:51">
      <c r="A74" t="s">
        <v>312</v>
      </c>
      <c r="AK74" s="266"/>
      <c r="AL74" s="266"/>
    </row>
    <row r="75" spans="1:51">
      <c r="A75" t="s">
        <v>313</v>
      </c>
      <c r="AK75" s="266"/>
      <c r="AL75" s="266"/>
    </row>
    <row r="76" spans="1:51">
      <c r="A76" t="s">
        <v>315</v>
      </c>
      <c r="AK76" s="266"/>
      <c r="AL76" s="266"/>
      <c r="AP76" t="s">
        <v>253</v>
      </c>
      <c r="AQ76" t="s">
        <v>253</v>
      </c>
      <c r="AR76" t="s">
        <v>253</v>
      </c>
    </row>
    <row r="77" spans="1:51">
      <c r="A77" t="s">
        <v>316</v>
      </c>
      <c r="AK77" s="266" t="s">
        <v>270</v>
      </c>
      <c r="AL77" s="266"/>
      <c r="AM77" s="266" t="s">
        <v>270</v>
      </c>
      <c r="AQ77" s="266"/>
      <c r="AR77" t="s">
        <v>270</v>
      </c>
      <c r="AS77" t="s">
        <v>270</v>
      </c>
    </row>
    <row r="78" spans="1:51">
      <c r="A78" t="s">
        <v>317</v>
      </c>
      <c r="AK78" s="266"/>
      <c r="AL78" s="266"/>
      <c r="AQ78" s="266"/>
    </row>
    <row r="80" spans="1:51">
      <c r="A80" t="s">
        <v>286</v>
      </c>
      <c r="AK80" s="266" t="s">
        <v>268</v>
      </c>
      <c r="AM80" s="266" t="s">
        <v>259</v>
      </c>
      <c r="AN80" s="266" t="s">
        <v>259</v>
      </c>
      <c r="AO80" s="266" t="s">
        <v>259</v>
      </c>
      <c r="AP80" s="266" t="s">
        <v>259</v>
      </c>
      <c r="AQ80" s="266" t="s">
        <v>259</v>
      </c>
      <c r="AR80" s="266" t="s">
        <v>259</v>
      </c>
      <c r="AS80" s="266" t="s">
        <v>259</v>
      </c>
      <c r="AT80" s="266" t="s">
        <v>259</v>
      </c>
      <c r="AV80" s="266" t="s">
        <v>268</v>
      </c>
      <c r="AW80" s="266" t="s">
        <v>268</v>
      </c>
      <c r="AX80" s="266" t="s">
        <v>268</v>
      </c>
      <c r="AY80" s="266" t="s">
        <v>268</v>
      </c>
    </row>
    <row r="81" spans="1:51">
      <c r="A81" t="s">
        <v>288</v>
      </c>
      <c r="AK81" s="266"/>
      <c r="AM81" s="266"/>
      <c r="AN81" s="266"/>
      <c r="AO81" s="266"/>
      <c r="AP81" s="266"/>
      <c r="AQ81" s="266"/>
      <c r="AR81" s="266"/>
      <c r="AS81" s="266"/>
      <c r="AT81" s="266"/>
      <c r="AV81" s="266"/>
      <c r="AW81" s="266"/>
      <c r="AX81" s="266"/>
      <c r="AY81" s="266"/>
    </row>
    <row r="82" spans="1:51">
      <c r="A82" t="s">
        <v>289</v>
      </c>
      <c r="AK82" s="266"/>
      <c r="AM82" s="266"/>
      <c r="AN82" s="266"/>
      <c r="AO82" s="266"/>
      <c r="AP82" s="266"/>
      <c r="AQ82" s="266"/>
      <c r="AR82" s="266"/>
      <c r="AS82" s="266"/>
      <c r="AT82" s="266"/>
      <c r="AV82" s="266"/>
      <c r="AW82" s="266"/>
      <c r="AX82" s="266"/>
      <c r="AY82" s="266"/>
    </row>
    <row r="83" spans="1:51">
      <c r="A83" t="s">
        <v>290</v>
      </c>
      <c r="AK83" s="266" t="s">
        <v>268</v>
      </c>
      <c r="AM83" s="266"/>
      <c r="AN83" s="266"/>
      <c r="AO83" s="266"/>
      <c r="AP83" s="266"/>
      <c r="AQ83" s="266"/>
      <c r="AR83" s="266"/>
      <c r="AS83" s="266"/>
      <c r="AT83" s="266"/>
      <c r="AV83" s="266" t="s">
        <v>268</v>
      </c>
      <c r="AW83" s="266" t="s">
        <v>268</v>
      </c>
      <c r="AX83" s="266" t="s">
        <v>268</v>
      </c>
      <c r="AY83" s="266" t="s">
        <v>268</v>
      </c>
    </row>
    <row r="84" spans="1:51">
      <c r="A84" t="s">
        <v>292</v>
      </c>
      <c r="AK84" s="266" t="s">
        <v>268</v>
      </c>
      <c r="AM84" s="266"/>
      <c r="AN84" s="266"/>
      <c r="AO84" s="266"/>
      <c r="AP84" s="266"/>
      <c r="AQ84" s="266"/>
      <c r="AR84" s="266"/>
      <c r="AS84" s="266"/>
      <c r="AT84" s="266"/>
      <c r="AV84" s="266" t="s">
        <v>268</v>
      </c>
      <c r="AW84" s="266" t="s">
        <v>268</v>
      </c>
      <c r="AX84" s="266" t="s">
        <v>268</v>
      </c>
      <c r="AY84" s="266" t="s">
        <v>268</v>
      </c>
    </row>
    <row r="85" spans="1:51">
      <c r="A85" t="s">
        <v>293</v>
      </c>
      <c r="AK85" s="266"/>
      <c r="AM85" s="266"/>
      <c r="AN85" s="266"/>
      <c r="AO85" s="266"/>
      <c r="AP85" s="266"/>
      <c r="AQ85" s="266"/>
      <c r="AR85" s="266"/>
      <c r="AS85" s="266"/>
      <c r="AT85" s="266"/>
      <c r="AV85" s="266"/>
      <c r="AW85" s="266"/>
      <c r="AX85" s="266"/>
      <c r="AY85" s="266"/>
    </row>
    <row r="86" spans="1:51">
      <c r="A86" t="s">
        <v>294</v>
      </c>
      <c r="AK86" s="266"/>
      <c r="AM86" s="266"/>
      <c r="AN86" s="266"/>
      <c r="AO86" s="266"/>
      <c r="AP86" s="266"/>
      <c r="AQ86" s="266"/>
      <c r="AR86" s="266"/>
      <c r="AS86" s="266"/>
      <c r="AT86" s="266"/>
      <c r="AV86" s="266"/>
      <c r="AW86" s="266"/>
      <c r="AX86" s="266"/>
      <c r="AY86" s="266"/>
    </row>
    <row r="87" spans="1:51">
      <c r="A87" t="s">
        <v>295</v>
      </c>
      <c r="AK87" s="266" t="s">
        <v>268</v>
      </c>
      <c r="AM87" s="266"/>
      <c r="AN87" s="266"/>
      <c r="AO87" s="266"/>
      <c r="AP87" s="266"/>
      <c r="AQ87" s="266"/>
      <c r="AR87" s="266"/>
      <c r="AS87" s="266"/>
      <c r="AT87" s="266"/>
      <c r="AV87" s="266" t="s">
        <v>268</v>
      </c>
      <c r="AW87" s="266" t="s">
        <v>268</v>
      </c>
      <c r="AX87" s="266" t="s">
        <v>268</v>
      </c>
      <c r="AY87" s="266" t="s">
        <v>268</v>
      </c>
    </row>
    <row r="88" spans="1:51">
      <c r="A88" t="s">
        <v>296</v>
      </c>
      <c r="AK88" s="266"/>
      <c r="AM88" s="266"/>
      <c r="AN88" s="266"/>
      <c r="AO88" s="266"/>
      <c r="AP88" s="266"/>
      <c r="AQ88" s="266"/>
      <c r="AR88" s="266"/>
      <c r="AS88" s="266"/>
      <c r="AT88" s="266"/>
      <c r="AV88" s="266"/>
      <c r="AW88" s="266"/>
      <c r="AX88" s="266"/>
      <c r="AY88" s="266"/>
    </row>
    <row r="89" spans="1:51">
      <c r="A89" t="s">
        <v>297</v>
      </c>
      <c r="AK89" s="266" t="s">
        <v>268</v>
      </c>
      <c r="AM89" s="266"/>
      <c r="AN89" s="266"/>
      <c r="AO89" s="266"/>
      <c r="AP89" s="266"/>
      <c r="AQ89" s="266"/>
      <c r="AR89" s="266"/>
      <c r="AS89" s="266"/>
      <c r="AT89" s="266"/>
      <c r="AV89" s="266" t="s">
        <v>268</v>
      </c>
      <c r="AW89" s="266" t="s">
        <v>268</v>
      </c>
      <c r="AX89" s="266" t="s">
        <v>268</v>
      </c>
      <c r="AY89" s="266" t="s">
        <v>268</v>
      </c>
    </row>
    <row r="90" spans="1:51">
      <c r="A90" t="s">
        <v>298</v>
      </c>
      <c r="AM90" s="266"/>
      <c r="AN90" s="266"/>
      <c r="AO90" s="266"/>
      <c r="AP90" s="266"/>
      <c r="AQ90" s="266"/>
      <c r="AR90" s="266"/>
      <c r="AS90" s="266"/>
      <c r="AT90" s="266"/>
    </row>
    <row r="91" spans="1:51">
      <c r="A91" t="s">
        <v>301</v>
      </c>
      <c r="AK91" s="266" t="s">
        <v>268</v>
      </c>
      <c r="AM91" s="266" t="s">
        <v>259</v>
      </c>
      <c r="AN91" s="266" t="s">
        <v>259</v>
      </c>
      <c r="AO91" s="266" t="s">
        <v>259</v>
      </c>
      <c r="AP91" s="266" t="s">
        <v>259</v>
      </c>
      <c r="AQ91" s="266" t="s">
        <v>259</v>
      </c>
      <c r="AR91" s="266" t="s">
        <v>259</v>
      </c>
      <c r="AS91" s="266" t="s">
        <v>259</v>
      </c>
      <c r="AT91" s="266" t="s">
        <v>259</v>
      </c>
      <c r="AV91" s="266" t="s">
        <v>268</v>
      </c>
      <c r="AW91" s="266" t="s">
        <v>268</v>
      </c>
      <c r="AX91" s="266" t="s">
        <v>268</v>
      </c>
      <c r="AY91" s="266" t="s">
        <v>268</v>
      </c>
    </row>
    <row r="92" spans="1:51">
      <c r="A92" t="s">
        <v>302</v>
      </c>
      <c r="AK92" s="266" t="s">
        <v>268</v>
      </c>
      <c r="AM92" s="266"/>
      <c r="AN92" s="266"/>
      <c r="AO92" s="266"/>
      <c r="AP92" s="266"/>
      <c r="AQ92" s="266"/>
      <c r="AR92" s="266"/>
      <c r="AS92" s="266"/>
      <c r="AT92" s="266"/>
      <c r="AV92" s="266" t="s">
        <v>268</v>
      </c>
      <c r="AW92" s="266" t="s">
        <v>268</v>
      </c>
      <c r="AX92" s="266" t="s">
        <v>268</v>
      </c>
      <c r="AY92" s="266" t="s">
        <v>268</v>
      </c>
    </row>
    <row r="93" spans="1:51">
      <c r="A93" t="s">
        <v>303</v>
      </c>
      <c r="AK93" s="266"/>
      <c r="AM93" s="266"/>
      <c r="AN93" s="266"/>
      <c r="AO93" s="266"/>
      <c r="AP93" s="266"/>
      <c r="AQ93" s="266"/>
      <c r="AR93" s="266"/>
      <c r="AS93" s="266"/>
      <c r="AT93" s="266"/>
      <c r="AV93" s="266"/>
      <c r="AW93" s="266"/>
      <c r="AX93" s="266"/>
      <c r="AY93" s="266"/>
    </row>
    <row r="94" spans="1:51">
      <c r="A94" t="s">
        <v>304</v>
      </c>
      <c r="AK94" s="266" t="s">
        <v>268</v>
      </c>
      <c r="AM94" s="266" t="s">
        <v>259</v>
      </c>
      <c r="AN94" s="266" t="s">
        <v>259</v>
      </c>
      <c r="AO94" s="266" t="s">
        <v>259</v>
      </c>
      <c r="AP94" s="266" t="s">
        <v>259</v>
      </c>
      <c r="AQ94" s="266" t="s">
        <v>259</v>
      </c>
      <c r="AR94" s="266" t="s">
        <v>259</v>
      </c>
      <c r="AS94" s="266" t="s">
        <v>259</v>
      </c>
      <c r="AT94" s="266" t="s">
        <v>259</v>
      </c>
      <c r="AV94" s="266" t="s">
        <v>268</v>
      </c>
      <c r="AW94" s="266" t="s">
        <v>268</v>
      </c>
      <c r="AX94" s="266" t="s">
        <v>268</v>
      </c>
      <c r="AY94" s="266" t="s">
        <v>268</v>
      </c>
    </row>
    <row r="95" spans="1:51">
      <c r="A95" t="s">
        <v>306</v>
      </c>
      <c r="AK95" s="266" t="s">
        <v>268</v>
      </c>
      <c r="AM95" s="266" t="s">
        <v>259</v>
      </c>
      <c r="AN95" s="266" t="s">
        <v>259</v>
      </c>
      <c r="AO95" s="266" t="s">
        <v>259</v>
      </c>
      <c r="AP95" s="266" t="s">
        <v>259</v>
      </c>
      <c r="AQ95" s="266" t="s">
        <v>259</v>
      </c>
      <c r="AR95" s="266" t="s">
        <v>259</v>
      </c>
      <c r="AS95" s="266" t="s">
        <v>259</v>
      </c>
      <c r="AT95" s="266" t="s">
        <v>259</v>
      </c>
      <c r="AV95" s="266" t="s">
        <v>268</v>
      </c>
      <c r="AW95" s="266" t="s">
        <v>268</v>
      </c>
      <c r="AX95" s="266" t="s">
        <v>268</v>
      </c>
      <c r="AY95" s="266" t="s">
        <v>268</v>
      </c>
    </row>
    <row r="96" spans="1:51">
      <c r="A96" t="s">
        <v>307</v>
      </c>
      <c r="AK96" s="266"/>
      <c r="AM96" s="266" t="s">
        <v>259</v>
      </c>
      <c r="AN96" s="266" t="s">
        <v>259</v>
      </c>
      <c r="AO96" s="266" t="s">
        <v>259</v>
      </c>
      <c r="AP96" s="266" t="s">
        <v>259</v>
      </c>
      <c r="AQ96" s="266" t="s">
        <v>259</v>
      </c>
      <c r="AR96" s="266" t="s">
        <v>259</v>
      </c>
      <c r="AS96" s="266" t="s">
        <v>259</v>
      </c>
      <c r="AT96" s="266" t="s">
        <v>259</v>
      </c>
      <c r="AV96" s="266"/>
      <c r="AW96" s="266"/>
      <c r="AX96" s="266"/>
      <c r="AY96" s="266"/>
    </row>
    <row r="97" spans="1:51">
      <c r="A97" t="s">
        <v>308</v>
      </c>
      <c r="AK97" s="266" t="s">
        <v>268</v>
      </c>
      <c r="AM97" s="266" t="s">
        <v>259</v>
      </c>
      <c r="AN97" s="266" t="s">
        <v>259</v>
      </c>
      <c r="AO97" s="266" t="s">
        <v>259</v>
      </c>
      <c r="AP97" s="266" t="s">
        <v>259</v>
      </c>
      <c r="AQ97" s="266" t="s">
        <v>259</v>
      </c>
      <c r="AR97" s="266" t="s">
        <v>259</v>
      </c>
      <c r="AS97" s="266" t="s">
        <v>259</v>
      </c>
      <c r="AT97" s="266" t="s">
        <v>259</v>
      </c>
      <c r="AV97" s="266" t="s">
        <v>268</v>
      </c>
      <c r="AW97" s="266" t="s">
        <v>268</v>
      </c>
      <c r="AX97" s="266" t="s">
        <v>268</v>
      </c>
      <c r="AY97" s="266" t="s">
        <v>268</v>
      </c>
    </row>
    <row r="98" spans="1:51">
      <c r="A98" t="s">
        <v>309</v>
      </c>
      <c r="AK98" s="266"/>
      <c r="AM98" s="266"/>
      <c r="AN98" s="266"/>
      <c r="AO98" s="266"/>
      <c r="AP98" s="266"/>
      <c r="AQ98" s="266"/>
      <c r="AR98" s="266"/>
      <c r="AS98" s="266"/>
      <c r="AT98" s="266"/>
      <c r="AV98" s="266"/>
      <c r="AW98" s="266"/>
      <c r="AX98" s="266"/>
      <c r="AY98" s="266"/>
    </row>
    <row r="99" spans="1:51">
      <c r="A99" t="s">
        <v>310</v>
      </c>
      <c r="AK99" s="266" t="s">
        <v>268</v>
      </c>
      <c r="AM99" s="266"/>
      <c r="AN99" s="266"/>
      <c r="AO99" s="266"/>
      <c r="AP99" s="266"/>
      <c r="AQ99" s="266"/>
      <c r="AR99" s="266"/>
      <c r="AS99" s="266"/>
      <c r="AT99" s="266"/>
      <c r="AV99" s="266" t="s">
        <v>268</v>
      </c>
      <c r="AW99" s="266" t="s">
        <v>268</v>
      </c>
      <c r="AX99" s="266" t="s">
        <v>268</v>
      </c>
      <c r="AY99" s="266" t="s">
        <v>268</v>
      </c>
    </row>
    <row r="100" spans="1:51">
      <c r="A100" t="s">
        <v>311</v>
      </c>
      <c r="AK100" s="266"/>
      <c r="AM100" s="266" t="s">
        <v>259</v>
      </c>
      <c r="AN100" s="266" t="s">
        <v>259</v>
      </c>
      <c r="AO100" s="266" t="s">
        <v>259</v>
      </c>
      <c r="AP100" s="266" t="s">
        <v>259</v>
      </c>
      <c r="AQ100" s="266" t="s">
        <v>259</v>
      </c>
      <c r="AR100" s="266" t="s">
        <v>259</v>
      </c>
      <c r="AS100" s="266" t="s">
        <v>259</v>
      </c>
      <c r="AT100" s="266" t="s">
        <v>259</v>
      </c>
    </row>
    <row r="101" spans="1:51">
      <c r="A101" t="s">
        <v>312</v>
      </c>
      <c r="AM101" s="266"/>
    </row>
    <row r="102" spans="1:51">
      <c r="A102" t="s">
        <v>313</v>
      </c>
      <c r="AM102" s="266"/>
    </row>
    <row r="103" spans="1:51">
      <c r="A103" t="s">
        <v>315</v>
      </c>
      <c r="AM103" s="266"/>
    </row>
    <row r="104" spans="1:51">
      <c r="A104" t="s">
        <v>316</v>
      </c>
      <c r="AM104" s="266"/>
    </row>
    <row r="105" spans="1:51">
      <c r="A105" t="s">
        <v>317</v>
      </c>
    </row>
  </sheetData>
  <conditionalFormatting sqref="B6:BH6">
    <cfRule type="cellIs" dxfId="1" priority="1" operator="between">
      <formula>2</formula>
      <formula>3</formula>
    </cfRule>
    <cfRule type="cellIs" dxfId="0" priority="2" operator="greaterThan">
      <formula>3</formula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9BE4-E4B9-454B-B95C-6BAF1FED7065}">
  <dimension ref="A1:AP26"/>
  <sheetViews>
    <sheetView workbookViewId="0">
      <pane xSplit="2" ySplit="1" topLeftCell="P2" activePane="bottomRight" state="frozen"/>
      <selection pane="topRight" activeCell="C1" sqref="C1"/>
      <selection pane="bottomLeft" activeCell="A2" sqref="A2"/>
      <selection pane="bottomRight" activeCell="A17" sqref="A17:XFD17"/>
    </sheetView>
  </sheetViews>
  <sheetFormatPr baseColWidth="10" defaultRowHeight="15"/>
  <cols>
    <col min="1" max="1" width="10.83203125" style="262"/>
    <col min="2" max="2" width="25.33203125" style="262" customWidth="1"/>
    <col min="3" max="3" width="18.83203125" style="262" bestFit="1" customWidth="1"/>
    <col min="4" max="16384" width="10.83203125" style="262"/>
  </cols>
  <sheetData>
    <row r="1" spans="1:42">
      <c r="A1" s="262" t="s">
        <v>373</v>
      </c>
      <c r="B1" s="262" t="s">
        <v>374</v>
      </c>
      <c r="C1" s="262" t="s">
        <v>345</v>
      </c>
      <c r="D1" s="262" t="s">
        <v>346</v>
      </c>
      <c r="E1" s="262" t="s">
        <v>347</v>
      </c>
      <c r="F1" s="266" t="s">
        <v>286</v>
      </c>
      <c r="G1" s="266" t="s">
        <v>288</v>
      </c>
      <c r="H1" s="266" t="s">
        <v>289</v>
      </c>
      <c r="I1" s="266" t="s">
        <v>290</v>
      </c>
      <c r="J1" s="266" t="s">
        <v>292</v>
      </c>
      <c r="K1" s="266" t="s">
        <v>293</v>
      </c>
      <c r="L1" s="266" t="s">
        <v>294</v>
      </c>
      <c r="M1" s="266" t="s">
        <v>295</v>
      </c>
      <c r="N1" s="266" t="s">
        <v>296</v>
      </c>
      <c r="O1" s="266" t="s">
        <v>297</v>
      </c>
      <c r="P1" s="266" t="s">
        <v>298</v>
      </c>
      <c r="Q1" s="266" t="s">
        <v>301</v>
      </c>
      <c r="R1" s="266" t="s">
        <v>302</v>
      </c>
      <c r="S1" s="266" t="s">
        <v>303</v>
      </c>
      <c r="T1" s="266" t="s">
        <v>304</v>
      </c>
      <c r="U1" s="266" t="s">
        <v>306</v>
      </c>
      <c r="V1" s="266" t="s">
        <v>307</v>
      </c>
      <c r="W1" s="266" t="s">
        <v>308</v>
      </c>
      <c r="X1" s="266" t="s">
        <v>309</v>
      </c>
      <c r="Y1" s="266" t="s">
        <v>310</v>
      </c>
      <c r="Z1" s="266" t="s">
        <v>311</v>
      </c>
      <c r="AA1" s="266" t="s">
        <v>312</v>
      </c>
      <c r="AB1" s="266" t="s">
        <v>313</v>
      </c>
      <c r="AC1" s="266" t="s">
        <v>315</v>
      </c>
      <c r="AD1" s="266" t="s">
        <v>316</v>
      </c>
      <c r="AE1" s="266" t="s">
        <v>317</v>
      </c>
      <c r="AF1" s="262" t="s">
        <v>334</v>
      </c>
      <c r="AG1" s="262" t="s">
        <v>335</v>
      </c>
      <c r="AH1" s="262" t="s">
        <v>336</v>
      </c>
      <c r="AI1" s="262" t="s">
        <v>337</v>
      </c>
      <c r="AJ1" s="262" t="s">
        <v>338</v>
      </c>
      <c r="AK1" s="262" t="s">
        <v>339</v>
      </c>
      <c r="AL1" s="262" t="s">
        <v>340</v>
      </c>
      <c r="AM1" s="262" t="s">
        <v>341</v>
      </c>
      <c r="AN1" s="262" t="s">
        <v>342</v>
      </c>
      <c r="AO1" s="262" t="s">
        <v>343</v>
      </c>
      <c r="AP1" s="263" t="s">
        <v>348</v>
      </c>
    </row>
    <row r="2" spans="1:42">
      <c r="A2" s="262">
        <v>0</v>
      </c>
      <c r="B2" s="262" t="s">
        <v>349</v>
      </c>
      <c r="C2" s="262">
        <v>0</v>
      </c>
      <c r="D2" s="262">
        <v>0</v>
      </c>
      <c r="E2" s="262">
        <v>0</v>
      </c>
    </row>
    <row r="3" spans="1:42">
      <c r="A3" s="262">
        <v>1</v>
      </c>
      <c r="B3" s="262" t="s">
        <v>350</v>
      </c>
      <c r="C3" s="262">
        <v>7</v>
      </c>
      <c r="D3" s="262">
        <v>2</v>
      </c>
      <c r="E3" s="262">
        <v>1</v>
      </c>
      <c r="F3" s="266">
        <v>1</v>
      </c>
      <c r="G3" s="266">
        <v>1</v>
      </c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>
        <v>1</v>
      </c>
      <c r="S3" s="266"/>
      <c r="T3" s="266"/>
      <c r="U3" s="266">
        <v>1</v>
      </c>
      <c r="V3" s="266">
        <v>1</v>
      </c>
      <c r="W3" s="266">
        <v>1</v>
      </c>
      <c r="X3" s="266">
        <v>1</v>
      </c>
      <c r="Y3" s="266"/>
      <c r="Z3" s="266"/>
      <c r="AA3" s="266">
        <v>1</v>
      </c>
      <c r="AB3" s="266"/>
      <c r="AC3" s="266"/>
      <c r="AD3" s="266"/>
      <c r="AE3" s="266"/>
      <c r="AG3" s="262">
        <v>1</v>
      </c>
      <c r="AO3" s="262">
        <v>1</v>
      </c>
    </row>
    <row r="4" spans="1:42">
      <c r="A4" s="262">
        <v>2</v>
      </c>
      <c r="B4" s="262" t="s">
        <v>351</v>
      </c>
      <c r="C4" s="262">
        <v>4</v>
      </c>
      <c r="D4" s="262">
        <v>2</v>
      </c>
      <c r="E4" s="262">
        <v>1</v>
      </c>
      <c r="F4" s="266">
        <v>1</v>
      </c>
      <c r="G4" s="266"/>
      <c r="H4" s="266">
        <v>1</v>
      </c>
      <c r="I4" s="266">
        <v>1</v>
      </c>
      <c r="J4" s="266">
        <v>1</v>
      </c>
      <c r="K4" s="266"/>
      <c r="L4" s="266"/>
      <c r="M4" s="266">
        <v>1</v>
      </c>
      <c r="N4" s="266"/>
      <c r="O4" s="266">
        <v>1</v>
      </c>
      <c r="P4" s="266"/>
      <c r="Q4" s="266"/>
      <c r="R4" s="266">
        <v>1</v>
      </c>
      <c r="S4" s="266"/>
      <c r="T4" s="266">
        <v>1</v>
      </c>
      <c r="U4" s="266">
        <v>1</v>
      </c>
      <c r="V4" s="266"/>
      <c r="W4" s="266">
        <v>1</v>
      </c>
      <c r="X4" s="266">
        <v>1</v>
      </c>
      <c r="Y4" s="266"/>
      <c r="Z4" s="266"/>
      <c r="AA4" s="266"/>
      <c r="AB4" s="266"/>
      <c r="AC4" s="266"/>
      <c r="AD4" s="266"/>
      <c r="AE4" s="266"/>
      <c r="AF4" s="262">
        <v>1</v>
      </c>
      <c r="AK4" s="262">
        <v>1</v>
      </c>
    </row>
    <row r="5" spans="1:42">
      <c r="A5" s="262">
        <v>3</v>
      </c>
      <c r="B5" s="262" t="s">
        <v>352</v>
      </c>
      <c r="C5" s="262">
        <v>4</v>
      </c>
      <c r="D5" s="262">
        <v>2</v>
      </c>
      <c r="E5" s="262">
        <v>1</v>
      </c>
      <c r="F5" s="266">
        <v>1</v>
      </c>
      <c r="G5" s="266"/>
      <c r="H5" s="266">
        <v>1</v>
      </c>
      <c r="I5" s="266">
        <v>1</v>
      </c>
      <c r="J5" s="266">
        <v>1</v>
      </c>
      <c r="K5" s="266"/>
      <c r="L5" s="266"/>
      <c r="M5" s="266">
        <v>1</v>
      </c>
      <c r="N5" s="266"/>
      <c r="O5" s="266">
        <v>1</v>
      </c>
      <c r="P5" s="266"/>
      <c r="Q5" s="266"/>
      <c r="R5" s="266">
        <v>1</v>
      </c>
      <c r="S5" s="266"/>
      <c r="T5" s="266">
        <v>1</v>
      </c>
      <c r="U5" s="266">
        <v>1</v>
      </c>
      <c r="V5" s="266"/>
      <c r="W5" s="266">
        <v>1</v>
      </c>
      <c r="X5" s="266">
        <v>1</v>
      </c>
      <c r="Y5" s="266"/>
      <c r="Z5" s="266"/>
      <c r="AA5" s="266"/>
      <c r="AB5" s="266"/>
      <c r="AC5" s="266"/>
      <c r="AD5" s="266"/>
      <c r="AE5" s="266"/>
      <c r="AF5" s="262">
        <v>1</v>
      </c>
      <c r="AK5" s="262">
        <v>1</v>
      </c>
    </row>
    <row r="6" spans="1:42">
      <c r="A6" s="262">
        <v>4</v>
      </c>
      <c r="B6" s="262" t="s">
        <v>353</v>
      </c>
      <c r="C6" s="262">
        <v>1</v>
      </c>
      <c r="D6" s="262">
        <v>2</v>
      </c>
      <c r="E6" s="262">
        <v>1</v>
      </c>
      <c r="F6" s="266">
        <v>1</v>
      </c>
      <c r="G6" s="266"/>
      <c r="H6" s="266">
        <v>1</v>
      </c>
      <c r="I6" s="266">
        <v>1</v>
      </c>
      <c r="J6" s="266">
        <v>1</v>
      </c>
      <c r="K6" s="266"/>
      <c r="L6" s="266"/>
      <c r="M6" s="266">
        <v>1</v>
      </c>
      <c r="N6" s="266"/>
      <c r="O6" s="266">
        <v>1</v>
      </c>
      <c r="P6" s="266"/>
      <c r="Q6" s="266"/>
      <c r="R6" s="266">
        <v>1</v>
      </c>
      <c r="S6" s="266"/>
      <c r="T6" s="266">
        <v>1</v>
      </c>
      <c r="U6" s="266">
        <v>1</v>
      </c>
      <c r="V6" s="266"/>
      <c r="W6" s="266">
        <v>1</v>
      </c>
      <c r="X6" s="266">
        <v>1</v>
      </c>
      <c r="Y6" s="266"/>
      <c r="Z6" s="266"/>
      <c r="AA6" s="266"/>
      <c r="AB6" s="266"/>
      <c r="AC6" s="266"/>
      <c r="AD6" s="266"/>
      <c r="AE6" s="266"/>
      <c r="AF6" s="262">
        <v>1</v>
      </c>
      <c r="AK6" s="262">
        <v>1</v>
      </c>
    </row>
    <row r="7" spans="1:42">
      <c r="A7" s="262">
        <v>5</v>
      </c>
      <c r="B7" s="262" t="s">
        <v>354</v>
      </c>
      <c r="C7" s="262">
        <v>1</v>
      </c>
      <c r="D7" s="262">
        <v>2</v>
      </c>
      <c r="E7" s="262">
        <v>1</v>
      </c>
      <c r="F7" s="266">
        <v>1</v>
      </c>
      <c r="G7" s="266"/>
      <c r="H7" s="266">
        <v>1</v>
      </c>
      <c r="I7" s="266">
        <v>1</v>
      </c>
      <c r="J7" s="266">
        <v>1</v>
      </c>
      <c r="K7" s="266"/>
      <c r="L7" s="266"/>
      <c r="M7" s="266">
        <v>1</v>
      </c>
      <c r="N7" s="266"/>
      <c r="O7" s="266">
        <v>1</v>
      </c>
      <c r="P7" s="266"/>
      <c r="Q7" s="266"/>
      <c r="R7" s="266">
        <v>1</v>
      </c>
      <c r="S7" s="266"/>
      <c r="T7" s="266">
        <v>1</v>
      </c>
      <c r="U7" s="266">
        <v>1</v>
      </c>
      <c r="V7" s="266"/>
      <c r="W7" s="266">
        <v>1</v>
      </c>
      <c r="X7" s="266">
        <v>1</v>
      </c>
      <c r="Y7" s="266"/>
      <c r="Z7" s="266"/>
      <c r="AA7" s="266"/>
      <c r="AB7" s="266"/>
      <c r="AC7" s="266"/>
      <c r="AD7" s="266"/>
      <c r="AE7" s="266"/>
      <c r="AF7" s="262">
        <v>1</v>
      </c>
      <c r="AK7" s="262">
        <v>1</v>
      </c>
    </row>
    <row r="8" spans="1:42">
      <c r="A8" s="262">
        <v>6</v>
      </c>
      <c r="B8" s="262" t="s">
        <v>355</v>
      </c>
      <c r="C8" s="262">
        <v>1</v>
      </c>
      <c r="D8" s="262">
        <v>2</v>
      </c>
      <c r="E8" s="262">
        <v>1</v>
      </c>
      <c r="F8" s="266">
        <v>1</v>
      </c>
      <c r="G8" s="266"/>
      <c r="H8" s="266">
        <v>1</v>
      </c>
      <c r="I8" s="266">
        <v>1</v>
      </c>
      <c r="J8" s="266">
        <v>1</v>
      </c>
      <c r="K8" s="266"/>
      <c r="L8" s="266"/>
      <c r="M8" s="266">
        <v>1</v>
      </c>
      <c r="N8" s="266"/>
      <c r="O8" s="266">
        <v>1</v>
      </c>
      <c r="P8" s="266"/>
      <c r="Q8" s="266"/>
      <c r="R8" s="266">
        <v>1</v>
      </c>
      <c r="S8" s="266"/>
      <c r="T8" s="266">
        <v>1</v>
      </c>
      <c r="U8" s="266">
        <v>1</v>
      </c>
      <c r="V8" s="266"/>
      <c r="W8" s="266">
        <v>1</v>
      </c>
      <c r="X8" s="266">
        <v>1</v>
      </c>
      <c r="Y8" s="266"/>
      <c r="Z8" s="266"/>
      <c r="AA8" s="266"/>
      <c r="AB8" s="266"/>
      <c r="AC8" s="266"/>
      <c r="AD8" s="266"/>
      <c r="AE8" s="266"/>
      <c r="AF8" s="262">
        <v>1</v>
      </c>
      <c r="AK8" s="262">
        <v>1</v>
      </c>
    </row>
    <row r="9" spans="1:42">
      <c r="A9" s="262">
        <v>7</v>
      </c>
      <c r="B9" s="262" t="s">
        <v>356</v>
      </c>
      <c r="C9" s="262">
        <v>2</v>
      </c>
      <c r="D9" s="262">
        <v>2</v>
      </c>
      <c r="E9" s="262">
        <v>1</v>
      </c>
      <c r="F9" s="266">
        <v>1</v>
      </c>
      <c r="G9" s="266"/>
      <c r="H9" s="266">
        <v>1</v>
      </c>
      <c r="I9" s="266">
        <v>1</v>
      </c>
      <c r="J9" s="266">
        <v>1</v>
      </c>
      <c r="K9" s="266"/>
      <c r="L9" s="266"/>
      <c r="M9" s="266">
        <v>1</v>
      </c>
      <c r="N9" s="266"/>
      <c r="O9" s="266">
        <v>1</v>
      </c>
      <c r="P9" s="266"/>
      <c r="Q9" s="266"/>
      <c r="R9" s="266">
        <v>1</v>
      </c>
      <c r="S9" s="266"/>
      <c r="T9" s="266">
        <v>1</v>
      </c>
      <c r="U9" s="266">
        <v>1</v>
      </c>
      <c r="V9" s="266"/>
      <c r="W9" s="266">
        <v>1</v>
      </c>
      <c r="X9" s="266">
        <v>1</v>
      </c>
      <c r="Y9" s="266"/>
      <c r="Z9" s="266"/>
      <c r="AA9" s="266"/>
      <c r="AB9" s="266"/>
      <c r="AC9" s="266"/>
      <c r="AD9" s="266"/>
      <c r="AE9" s="266"/>
      <c r="AF9" s="262">
        <v>1</v>
      </c>
      <c r="AK9" s="262">
        <v>1</v>
      </c>
    </row>
    <row r="10" spans="1:42">
      <c r="A10" s="262">
        <v>8</v>
      </c>
      <c r="B10" s="262" t="s">
        <v>357</v>
      </c>
      <c r="C10" s="262">
        <v>1</v>
      </c>
      <c r="D10" s="262">
        <v>2</v>
      </c>
      <c r="E10" s="262">
        <v>1</v>
      </c>
      <c r="F10" s="266">
        <v>1</v>
      </c>
      <c r="G10" s="266"/>
      <c r="H10" s="266">
        <v>1</v>
      </c>
      <c r="I10" s="266">
        <v>1</v>
      </c>
      <c r="J10" s="266">
        <v>1</v>
      </c>
      <c r="K10" s="266"/>
      <c r="L10" s="266"/>
      <c r="M10" s="266">
        <v>1</v>
      </c>
      <c r="N10" s="266"/>
      <c r="O10" s="266">
        <v>1</v>
      </c>
      <c r="P10" s="266"/>
      <c r="Q10" s="266"/>
      <c r="R10" s="266">
        <v>1</v>
      </c>
      <c r="S10" s="266"/>
      <c r="T10" s="266">
        <v>1</v>
      </c>
      <c r="U10" s="266">
        <v>1</v>
      </c>
      <c r="V10" s="266"/>
      <c r="W10" s="266">
        <v>1</v>
      </c>
      <c r="X10" s="266">
        <v>1</v>
      </c>
      <c r="Y10" s="266"/>
      <c r="Z10" s="266"/>
      <c r="AA10" s="266"/>
      <c r="AB10" s="266"/>
      <c r="AC10" s="266"/>
      <c r="AD10" s="266"/>
      <c r="AE10" s="266"/>
      <c r="AF10" s="262">
        <v>1</v>
      </c>
      <c r="AK10" s="262">
        <v>1</v>
      </c>
    </row>
    <row r="11" spans="1:42">
      <c r="A11" s="262">
        <v>9</v>
      </c>
      <c r="B11" s="262" t="s">
        <v>358</v>
      </c>
      <c r="C11" s="262">
        <v>4</v>
      </c>
      <c r="D11" s="262">
        <v>2</v>
      </c>
      <c r="E11" s="262">
        <v>1</v>
      </c>
      <c r="F11" s="266"/>
      <c r="G11" s="266"/>
      <c r="H11" s="266"/>
      <c r="I11" s="266"/>
      <c r="J11" s="266"/>
      <c r="K11" s="266"/>
      <c r="L11" s="266"/>
      <c r="M11" s="266"/>
      <c r="N11" s="266"/>
      <c r="O11" s="266"/>
      <c r="P11" s="266"/>
      <c r="Q11" s="266"/>
      <c r="R11" s="266"/>
      <c r="S11" s="266"/>
      <c r="T11" s="266"/>
      <c r="U11" s="266"/>
      <c r="V11" s="266"/>
      <c r="W11" s="266"/>
      <c r="X11" s="266"/>
      <c r="Y11" s="266">
        <v>1</v>
      </c>
      <c r="Z11" s="266"/>
      <c r="AA11" s="266"/>
      <c r="AB11" s="266"/>
      <c r="AC11" s="266"/>
      <c r="AD11" s="266"/>
      <c r="AE11" s="266"/>
      <c r="AH11" s="262">
        <v>1</v>
      </c>
      <c r="AL11" s="262">
        <v>1</v>
      </c>
    </row>
    <row r="12" spans="1:42">
      <c r="A12" s="262">
        <v>10</v>
      </c>
      <c r="B12" s="262" t="s">
        <v>359</v>
      </c>
      <c r="C12" s="262">
        <v>8</v>
      </c>
      <c r="D12" s="262">
        <v>2</v>
      </c>
      <c r="E12" s="262">
        <v>1</v>
      </c>
      <c r="F12" s="266"/>
      <c r="G12" s="266"/>
      <c r="H12" s="266"/>
      <c r="I12" s="266"/>
      <c r="J12" s="266"/>
      <c r="K12" s="266"/>
      <c r="L12" s="266"/>
      <c r="M12" s="266"/>
      <c r="N12" s="266"/>
      <c r="O12" s="266"/>
      <c r="P12" s="266"/>
      <c r="Q12" s="266"/>
      <c r="R12" s="266"/>
      <c r="S12" s="266"/>
      <c r="T12" s="266"/>
      <c r="U12" s="266"/>
      <c r="V12" s="266"/>
      <c r="W12" s="266"/>
      <c r="X12" s="266"/>
      <c r="Y12" s="266">
        <v>1</v>
      </c>
      <c r="Z12" s="266"/>
      <c r="AA12" s="266"/>
      <c r="AB12" s="266"/>
      <c r="AC12" s="266"/>
      <c r="AD12" s="266"/>
      <c r="AE12" s="266"/>
      <c r="AH12" s="262">
        <v>1</v>
      </c>
      <c r="AL12" s="262">
        <v>1</v>
      </c>
    </row>
    <row r="13" spans="1:42">
      <c r="A13" s="262">
        <v>11</v>
      </c>
      <c r="B13" s="262" t="s">
        <v>360</v>
      </c>
      <c r="C13" s="262">
        <v>1</v>
      </c>
      <c r="D13" s="262">
        <v>2</v>
      </c>
      <c r="E13" s="262">
        <v>1</v>
      </c>
      <c r="F13" s="266">
        <v>1</v>
      </c>
      <c r="G13" s="266"/>
      <c r="H13" s="266"/>
      <c r="I13" s="266">
        <v>1</v>
      </c>
      <c r="J13" s="266">
        <v>1</v>
      </c>
      <c r="K13" s="266"/>
      <c r="L13" s="266"/>
      <c r="M13" s="266">
        <v>1</v>
      </c>
      <c r="N13" s="266"/>
      <c r="O13" s="266">
        <v>1</v>
      </c>
      <c r="P13" s="266"/>
      <c r="Q13" s="266">
        <v>1</v>
      </c>
      <c r="R13" s="266">
        <v>1</v>
      </c>
      <c r="S13" s="266"/>
      <c r="T13" s="266">
        <v>1</v>
      </c>
      <c r="U13" s="266">
        <v>1</v>
      </c>
      <c r="V13" s="266"/>
      <c r="W13" s="266">
        <v>1</v>
      </c>
      <c r="X13" s="266"/>
      <c r="Y13" s="266">
        <v>1</v>
      </c>
      <c r="Z13" s="266"/>
      <c r="AA13" s="266"/>
      <c r="AB13" s="266"/>
      <c r="AC13" s="266"/>
      <c r="AD13" s="266"/>
      <c r="AE13" s="266"/>
      <c r="AF13" s="262">
        <v>1</v>
      </c>
      <c r="AG13" s="262">
        <v>1</v>
      </c>
      <c r="AH13" s="262">
        <v>1</v>
      </c>
      <c r="AJ13" s="262">
        <v>1</v>
      </c>
      <c r="AL13" s="262">
        <v>1</v>
      </c>
      <c r="AM13" s="262">
        <v>1</v>
      </c>
    </row>
    <row r="14" spans="1:42">
      <c r="A14" s="262">
        <v>12</v>
      </c>
      <c r="B14" s="262" t="s">
        <v>361</v>
      </c>
      <c r="C14" s="262">
        <v>4</v>
      </c>
      <c r="D14" s="262">
        <v>2</v>
      </c>
      <c r="E14" s="262">
        <v>1</v>
      </c>
      <c r="F14" s="266">
        <v>1</v>
      </c>
      <c r="G14" s="266"/>
      <c r="H14" s="266"/>
      <c r="I14" s="266">
        <v>1</v>
      </c>
      <c r="J14" s="266">
        <v>1</v>
      </c>
      <c r="K14" s="266"/>
      <c r="L14" s="266"/>
      <c r="M14" s="266">
        <v>1</v>
      </c>
      <c r="N14" s="266"/>
      <c r="O14" s="266">
        <v>1</v>
      </c>
      <c r="P14" s="266"/>
      <c r="Q14" s="266">
        <v>1</v>
      </c>
      <c r="R14" s="266">
        <v>1</v>
      </c>
      <c r="S14" s="266"/>
      <c r="T14" s="266">
        <v>1</v>
      </c>
      <c r="U14" s="266">
        <v>1</v>
      </c>
      <c r="V14" s="266"/>
      <c r="W14" s="266">
        <v>1</v>
      </c>
      <c r="X14" s="266"/>
      <c r="Y14" s="266">
        <v>1</v>
      </c>
      <c r="Z14" s="266"/>
      <c r="AA14" s="266"/>
      <c r="AB14" s="266"/>
      <c r="AC14" s="266"/>
      <c r="AD14" s="266"/>
      <c r="AE14" s="266"/>
      <c r="AF14" s="262">
        <v>1</v>
      </c>
      <c r="AG14" s="262">
        <v>1</v>
      </c>
      <c r="AH14" s="262">
        <v>1</v>
      </c>
      <c r="AJ14" s="262">
        <v>1</v>
      </c>
      <c r="AL14" s="262">
        <v>1</v>
      </c>
      <c r="AM14" s="262">
        <v>1</v>
      </c>
    </row>
    <row r="15" spans="1:42">
      <c r="A15" s="262">
        <v>13</v>
      </c>
      <c r="B15" s="262" t="s">
        <v>362</v>
      </c>
      <c r="C15" s="262">
        <v>1</v>
      </c>
      <c r="D15" s="262">
        <v>2</v>
      </c>
      <c r="E15" s="262">
        <v>1</v>
      </c>
      <c r="F15" s="266"/>
      <c r="G15" s="266"/>
      <c r="H15" s="266"/>
      <c r="I15" s="266"/>
      <c r="J15" s="266"/>
      <c r="K15" s="266"/>
      <c r="L15" s="266"/>
      <c r="M15" s="266"/>
      <c r="N15" s="266"/>
      <c r="O15" s="266"/>
      <c r="P15" s="266"/>
      <c r="Q15" s="266"/>
      <c r="R15" s="266"/>
      <c r="S15" s="266"/>
      <c r="T15" s="266"/>
      <c r="U15" s="266"/>
      <c r="V15" s="266"/>
      <c r="W15" s="266"/>
      <c r="X15" s="266"/>
      <c r="Y15" s="266">
        <v>1</v>
      </c>
      <c r="Z15" s="266"/>
      <c r="AA15" s="266"/>
      <c r="AB15" s="266"/>
      <c r="AC15" s="266"/>
      <c r="AD15" s="266"/>
      <c r="AE15" s="266"/>
      <c r="AH15" s="262">
        <v>1</v>
      </c>
      <c r="AL15" s="262">
        <v>1</v>
      </c>
    </row>
    <row r="16" spans="1:42">
      <c r="A16" s="262">
        <v>14</v>
      </c>
      <c r="B16" s="262" t="s">
        <v>397</v>
      </c>
      <c r="C16" s="262">
        <v>3</v>
      </c>
      <c r="D16" s="262">
        <v>2</v>
      </c>
      <c r="E16" s="262">
        <v>1</v>
      </c>
      <c r="F16" s="266"/>
      <c r="G16" s="266"/>
      <c r="H16" s="266">
        <v>1</v>
      </c>
      <c r="I16" s="266"/>
      <c r="J16" s="266"/>
      <c r="K16" s="266">
        <v>1</v>
      </c>
      <c r="L16" s="266"/>
      <c r="M16" s="266"/>
      <c r="N16" s="266"/>
      <c r="O16" s="266"/>
      <c r="P16" s="266"/>
      <c r="Q16" s="266"/>
      <c r="R16" s="266"/>
      <c r="S16" s="266"/>
      <c r="T16" s="266">
        <v>1</v>
      </c>
      <c r="U16" s="266">
        <v>1</v>
      </c>
      <c r="V16" s="266"/>
      <c r="W16" s="266">
        <v>1</v>
      </c>
      <c r="X16" s="266"/>
      <c r="Y16" s="266"/>
      <c r="Z16" s="266"/>
      <c r="AA16" s="266"/>
      <c r="AB16" s="266"/>
      <c r="AC16" s="266">
        <v>1</v>
      </c>
      <c r="AD16" s="266"/>
      <c r="AE16" s="266"/>
      <c r="AI16" s="262">
        <v>1</v>
      </c>
      <c r="AJ16" s="262">
        <v>1</v>
      </c>
    </row>
    <row r="17" spans="1:38">
      <c r="A17" s="262">
        <v>15</v>
      </c>
      <c r="B17" s="262" t="s">
        <v>363</v>
      </c>
      <c r="C17" s="262">
        <v>1</v>
      </c>
      <c r="D17" s="262">
        <v>2</v>
      </c>
      <c r="E17" s="262">
        <v>1</v>
      </c>
      <c r="F17" s="266"/>
      <c r="G17" s="266"/>
      <c r="H17" s="266"/>
      <c r="I17" s="266"/>
      <c r="J17" s="266"/>
      <c r="K17" s="266"/>
      <c r="L17" s="266"/>
      <c r="M17" s="266"/>
      <c r="N17" s="266"/>
      <c r="O17" s="266"/>
      <c r="P17" s="266"/>
      <c r="Q17" s="266"/>
      <c r="R17" s="266"/>
      <c r="S17" s="266"/>
      <c r="T17" s="266"/>
      <c r="U17" s="266"/>
      <c r="V17" s="266"/>
      <c r="W17" s="266"/>
      <c r="X17" s="266"/>
      <c r="Y17" s="266"/>
      <c r="Z17" s="266"/>
      <c r="AA17" s="266"/>
      <c r="AB17" s="266"/>
      <c r="AC17" s="266"/>
      <c r="AD17" s="266">
        <v>1</v>
      </c>
      <c r="AE17" s="266"/>
      <c r="AI17" s="262">
        <v>1</v>
      </c>
      <c r="AK17" s="262">
        <v>1</v>
      </c>
    </row>
    <row r="18" spans="1:38">
      <c r="A18" s="262">
        <v>16</v>
      </c>
      <c r="B18" s="262" t="s">
        <v>364</v>
      </c>
      <c r="C18" s="262">
        <v>1</v>
      </c>
      <c r="D18" s="262">
        <v>2</v>
      </c>
      <c r="E18" s="262">
        <v>1</v>
      </c>
      <c r="F18" s="266"/>
      <c r="G18" s="266"/>
      <c r="H18" s="266"/>
      <c r="I18" s="266"/>
      <c r="J18" s="266"/>
      <c r="K18" s="266"/>
      <c r="L18" s="266"/>
      <c r="M18" s="266"/>
      <c r="N18" s="266"/>
      <c r="O18" s="266"/>
      <c r="P18" s="266"/>
      <c r="Q18" s="266"/>
      <c r="R18" s="266"/>
      <c r="S18" s="266"/>
      <c r="T18" s="266"/>
      <c r="U18" s="266"/>
      <c r="V18" s="266"/>
      <c r="W18" s="266"/>
      <c r="X18" s="266"/>
      <c r="Y18" s="266"/>
      <c r="Z18" s="266"/>
      <c r="AA18" s="266"/>
      <c r="AB18" s="266"/>
      <c r="AC18" s="266"/>
      <c r="AD18" s="266">
        <v>1</v>
      </c>
      <c r="AE18" s="266"/>
      <c r="AI18" s="262">
        <v>1</v>
      </c>
      <c r="AK18" s="262">
        <v>1</v>
      </c>
    </row>
    <row r="19" spans="1:38">
      <c r="A19" s="262">
        <v>17</v>
      </c>
      <c r="B19" s="262" t="s">
        <v>365</v>
      </c>
      <c r="C19" s="262">
        <v>2</v>
      </c>
      <c r="D19" s="262">
        <v>2</v>
      </c>
      <c r="E19" s="262">
        <v>1</v>
      </c>
      <c r="F19" s="266"/>
      <c r="G19" s="266"/>
      <c r="H19" s="266"/>
      <c r="I19" s="266"/>
      <c r="J19" s="266"/>
      <c r="K19" s="266"/>
      <c r="L19" s="266"/>
      <c r="M19" s="266"/>
      <c r="N19" s="266"/>
      <c r="O19" s="266"/>
      <c r="P19" s="266"/>
      <c r="Q19" s="266"/>
      <c r="R19" s="266"/>
      <c r="S19" s="266"/>
      <c r="T19" s="266"/>
      <c r="U19" s="266"/>
      <c r="V19" s="266"/>
      <c r="W19" s="266"/>
      <c r="X19" s="266"/>
      <c r="Y19" s="266"/>
      <c r="Z19" s="266"/>
      <c r="AA19" s="266"/>
      <c r="AB19" s="266"/>
      <c r="AC19" s="266"/>
      <c r="AD19" s="266">
        <v>1</v>
      </c>
      <c r="AE19" s="266"/>
      <c r="AI19" s="262">
        <v>1</v>
      </c>
      <c r="AK19" s="262">
        <v>1</v>
      </c>
    </row>
    <row r="20" spans="1:38">
      <c r="A20" s="262">
        <v>18</v>
      </c>
      <c r="B20" s="262" t="s">
        <v>366</v>
      </c>
      <c r="C20" s="262">
        <v>1</v>
      </c>
      <c r="D20" s="262">
        <v>2</v>
      </c>
      <c r="E20" s="262">
        <v>1</v>
      </c>
      <c r="F20" s="266"/>
      <c r="G20" s="266"/>
      <c r="H20" s="266"/>
      <c r="I20" s="266"/>
      <c r="J20" s="266"/>
      <c r="K20" s="266"/>
      <c r="L20" s="266"/>
      <c r="M20" s="266"/>
      <c r="N20" s="266"/>
      <c r="O20" s="266"/>
      <c r="P20" s="266"/>
      <c r="Q20" s="266"/>
      <c r="R20" s="266"/>
      <c r="S20" s="266"/>
      <c r="T20" s="266"/>
      <c r="U20" s="266"/>
      <c r="V20" s="266"/>
      <c r="W20" s="266"/>
      <c r="X20" s="266"/>
      <c r="Y20" s="266"/>
      <c r="Z20" s="266">
        <v>1</v>
      </c>
      <c r="AA20" s="266"/>
      <c r="AB20" s="266"/>
      <c r="AC20" s="266"/>
      <c r="AD20" s="266"/>
      <c r="AE20" s="266"/>
      <c r="AG20" s="262">
        <v>1</v>
      </c>
      <c r="AL20" s="262">
        <v>1</v>
      </c>
    </row>
    <row r="21" spans="1:38">
      <c r="A21" s="262">
        <v>19</v>
      </c>
      <c r="B21" s="262" t="s">
        <v>367</v>
      </c>
      <c r="C21" s="262">
        <v>1</v>
      </c>
      <c r="D21" s="262">
        <v>2</v>
      </c>
      <c r="E21" s="262">
        <v>1</v>
      </c>
      <c r="F21" s="266"/>
      <c r="G21" s="266"/>
      <c r="H21" s="266"/>
      <c r="I21" s="266"/>
      <c r="J21" s="266"/>
      <c r="K21" s="266"/>
      <c r="L21" s="266"/>
      <c r="M21" s="266"/>
      <c r="N21" s="266"/>
      <c r="O21" s="266"/>
      <c r="P21" s="266"/>
      <c r="Q21" s="266"/>
      <c r="R21" s="266"/>
      <c r="S21" s="266"/>
      <c r="T21" s="266"/>
      <c r="U21" s="266"/>
      <c r="V21" s="266"/>
      <c r="W21" s="266"/>
      <c r="X21" s="266"/>
      <c r="Y21" s="266"/>
      <c r="Z21" s="266">
        <v>1</v>
      </c>
      <c r="AA21" s="266"/>
      <c r="AB21" s="266"/>
      <c r="AC21" s="266"/>
      <c r="AD21" s="266"/>
      <c r="AE21" s="266"/>
      <c r="AG21" s="262">
        <v>1</v>
      </c>
      <c r="AL21" s="262">
        <v>1</v>
      </c>
    </row>
    <row r="22" spans="1:38">
      <c r="A22" s="262">
        <v>20</v>
      </c>
      <c r="B22" s="262" t="s">
        <v>368</v>
      </c>
      <c r="C22" s="262">
        <v>1</v>
      </c>
      <c r="D22" s="262">
        <v>2</v>
      </c>
      <c r="E22" s="262">
        <v>1</v>
      </c>
      <c r="F22" s="266"/>
      <c r="G22" s="266"/>
      <c r="H22" s="266"/>
      <c r="I22" s="266"/>
      <c r="J22" s="266"/>
      <c r="K22" s="266"/>
      <c r="L22" s="266"/>
      <c r="M22" s="266"/>
      <c r="N22" s="266"/>
      <c r="O22" s="266"/>
      <c r="P22" s="266"/>
      <c r="Q22" s="266"/>
      <c r="R22" s="266"/>
      <c r="S22" s="266"/>
      <c r="T22" s="266"/>
      <c r="U22" s="266"/>
      <c r="V22" s="266"/>
      <c r="W22" s="266"/>
      <c r="X22" s="266"/>
      <c r="Y22" s="266"/>
      <c r="Z22" s="266">
        <v>1</v>
      </c>
      <c r="AA22" s="266"/>
      <c r="AB22" s="266"/>
      <c r="AC22" s="266"/>
      <c r="AD22" s="266"/>
      <c r="AE22" s="266"/>
      <c r="AG22" s="262">
        <v>1</v>
      </c>
      <c r="AL22" s="262">
        <v>1</v>
      </c>
    </row>
    <row r="23" spans="1:38">
      <c r="A23" s="262">
        <v>21</v>
      </c>
      <c r="B23" s="262" t="s">
        <v>369</v>
      </c>
      <c r="C23" s="262">
        <v>1</v>
      </c>
      <c r="D23" s="262">
        <v>2</v>
      </c>
      <c r="E23" s="262">
        <v>1</v>
      </c>
      <c r="F23" s="266"/>
      <c r="G23" s="266"/>
      <c r="H23" s="266"/>
      <c r="I23" s="266"/>
      <c r="J23" s="266"/>
      <c r="K23" s="266"/>
      <c r="L23" s="266"/>
      <c r="M23" s="266"/>
      <c r="N23" s="266"/>
      <c r="O23" s="266"/>
      <c r="P23" s="266"/>
      <c r="Q23" s="266"/>
      <c r="R23" s="266"/>
      <c r="S23" s="266"/>
      <c r="T23" s="266"/>
      <c r="U23" s="266"/>
      <c r="V23" s="266"/>
      <c r="W23" s="266"/>
      <c r="X23" s="266"/>
      <c r="Y23" s="266"/>
      <c r="Z23" s="266">
        <v>1</v>
      </c>
      <c r="AA23" s="266"/>
      <c r="AB23" s="266"/>
      <c r="AC23" s="266"/>
      <c r="AD23" s="266"/>
      <c r="AE23" s="266"/>
      <c r="AG23" s="262">
        <v>1</v>
      </c>
      <c r="AL23" s="262">
        <v>1</v>
      </c>
    </row>
    <row r="24" spans="1:38">
      <c r="A24" s="262">
        <v>22</v>
      </c>
      <c r="B24" s="262" t="s">
        <v>370</v>
      </c>
      <c r="C24" s="262">
        <v>1</v>
      </c>
      <c r="D24" s="262">
        <v>2</v>
      </c>
      <c r="E24" s="262">
        <v>1</v>
      </c>
      <c r="F24" s="266"/>
      <c r="G24" s="266"/>
      <c r="H24" s="266"/>
      <c r="I24" s="266"/>
      <c r="J24" s="266"/>
      <c r="K24" s="266"/>
      <c r="L24" s="266"/>
      <c r="M24" s="266"/>
      <c r="N24" s="266"/>
      <c r="O24" s="266"/>
      <c r="P24" s="266"/>
      <c r="Q24" s="266"/>
      <c r="R24" s="266"/>
      <c r="S24" s="266"/>
      <c r="T24" s="266"/>
      <c r="U24" s="266"/>
      <c r="V24" s="266"/>
      <c r="W24" s="266"/>
      <c r="X24" s="266"/>
      <c r="Y24" s="266"/>
      <c r="Z24" s="266">
        <v>1</v>
      </c>
      <c r="AA24" s="266"/>
      <c r="AB24" s="266"/>
      <c r="AC24" s="266"/>
      <c r="AD24" s="266"/>
      <c r="AE24" s="266"/>
      <c r="AG24" s="262">
        <v>1</v>
      </c>
      <c r="AL24" s="262">
        <v>1</v>
      </c>
    </row>
    <row r="25" spans="1:38">
      <c r="A25" s="262">
        <v>23</v>
      </c>
      <c r="B25" s="262" t="s">
        <v>371</v>
      </c>
      <c r="C25" s="262">
        <v>2</v>
      </c>
      <c r="D25" s="262">
        <v>2</v>
      </c>
      <c r="E25" s="262">
        <v>1</v>
      </c>
      <c r="F25" s="266"/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266"/>
      <c r="T25" s="266"/>
      <c r="U25" s="266"/>
      <c r="V25" s="266"/>
      <c r="W25" s="266"/>
      <c r="X25" s="266"/>
      <c r="Y25" s="266"/>
      <c r="Z25" s="266">
        <v>1</v>
      </c>
      <c r="AA25" s="266"/>
      <c r="AB25" s="266"/>
      <c r="AC25" s="266"/>
      <c r="AD25" s="266"/>
      <c r="AE25" s="266"/>
      <c r="AG25" s="262">
        <v>1</v>
      </c>
      <c r="AL25" s="262">
        <v>1</v>
      </c>
    </row>
    <row r="26" spans="1:38">
      <c r="A26" s="262">
        <v>24</v>
      </c>
      <c r="B26" s="262" t="s">
        <v>372</v>
      </c>
      <c r="C26" s="262">
        <v>0</v>
      </c>
      <c r="D26" s="262">
        <v>0</v>
      </c>
      <c r="E26" s="262">
        <v>0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C7812-E0D7-A74C-9D1B-274B799AC21C}">
  <dimension ref="A1:E26"/>
  <sheetViews>
    <sheetView workbookViewId="0">
      <selection activeCell="A20" sqref="A20"/>
    </sheetView>
  </sheetViews>
  <sheetFormatPr baseColWidth="10" defaultColWidth="8.83203125" defaultRowHeight="15"/>
  <cols>
    <col min="1" max="1" width="23.5" bestFit="1" customWidth="1"/>
  </cols>
  <sheetData>
    <row r="1" spans="1:5">
      <c r="B1" s="269" t="s">
        <v>375</v>
      </c>
      <c r="C1" s="269" t="s">
        <v>376</v>
      </c>
      <c r="D1" s="269" t="s">
        <v>377</v>
      </c>
      <c r="E1" s="269" t="s">
        <v>378</v>
      </c>
    </row>
    <row r="2" spans="1:5">
      <c r="A2" s="269" t="s">
        <v>349</v>
      </c>
      <c r="B2">
        <v>0</v>
      </c>
      <c r="C2">
        <v>0</v>
      </c>
      <c r="D2" s="270">
        <v>45172</v>
      </c>
      <c r="E2" s="270">
        <v>45172</v>
      </c>
    </row>
    <row r="3" spans="1:5">
      <c r="A3" s="269" t="s">
        <v>350</v>
      </c>
      <c r="B3">
        <v>2</v>
      </c>
      <c r="C3">
        <v>9</v>
      </c>
      <c r="D3" s="270">
        <v>45186</v>
      </c>
      <c r="E3" s="270">
        <v>45235</v>
      </c>
    </row>
    <row r="4" spans="1:5">
      <c r="A4" s="269" t="s">
        <v>351</v>
      </c>
      <c r="B4">
        <v>8</v>
      </c>
      <c r="C4">
        <v>12</v>
      </c>
      <c r="D4" s="270">
        <v>45228</v>
      </c>
      <c r="E4" s="270">
        <v>45256</v>
      </c>
    </row>
    <row r="5" spans="1:5">
      <c r="A5" s="269" t="s">
        <v>352</v>
      </c>
      <c r="B5">
        <v>0</v>
      </c>
      <c r="C5">
        <v>4</v>
      </c>
      <c r="D5" s="270">
        <v>45172</v>
      </c>
      <c r="E5" s="270">
        <v>45200</v>
      </c>
    </row>
    <row r="6" spans="1:5">
      <c r="A6" s="269" t="s">
        <v>353</v>
      </c>
      <c r="B6">
        <v>4</v>
      </c>
      <c r="C6">
        <v>5</v>
      </c>
      <c r="D6" s="270">
        <v>45200</v>
      </c>
      <c r="E6" s="270">
        <v>45207</v>
      </c>
    </row>
    <row r="7" spans="1:5">
      <c r="A7" s="269" t="s">
        <v>354</v>
      </c>
      <c r="B7">
        <v>9</v>
      </c>
      <c r="C7">
        <v>10</v>
      </c>
      <c r="D7" s="270">
        <v>45235</v>
      </c>
      <c r="E7" s="270">
        <v>45242</v>
      </c>
    </row>
    <row r="8" spans="1:5">
      <c r="A8" s="269" t="s">
        <v>355</v>
      </c>
      <c r="B8">
        <v>10</v>
      </c>
      <c r="C8">
        <v>11</v>
      </c>
      <c r="D8" s="270">
        <v>45242</v>
      </c>
      <c r="E8" s="270">
        <v>45249</v>
      </c>
    </row>
    <row r="9" spans="1:5">
      <c r="A9" s="269" t="s">
        <v>356</v>
      </c>
      <c r="B9">
        <v>12</v>
      </c>
      <c r="C9">
        <v>14</v>
      </c>
      <c r="D9" s="270">
        <v>45256</v>
      </c>
      <c r="E9" s="270">
        <v>45270</v>
      </c>
    </row>
    <row r="10" spans="1:5">
      <c r="A10" s="269" t="s">
        <v>357</v>
      </c>
      <c r="B10">
        <v>14</v>
      </c>
      <c r="C10">
        <v>15</v>
      </c>
      <c r="D10" s="270">
        <v>45270</v>
      </c>
      <c r="E10" s="270">
        <v>45277</v>
      </c>
    </row>
    <row r="11" spans="1:5">
      <c r="A11" s="269" t="s">
        <v>358</v>
      </c>
      <c r="B11">
        <v>0</v>
      </c>
      <c r="C11">
        <v>4</v>
      </c>
      <c r="D11" s="270">
        <v>45172</v>
      </c>
      <c r="E11" s="270">
        <v>45200</v>
      </c>
    </row>
    <row r="12" spans="1:5">
      <c r="A12" s="269" t="s">
        <v>359</v>
      </c>
      <c r="B12">
        <v>4</v>
      </c>
      <c r="C12">
        <v>12</v>
      </c>
      <c r="D12" s="270">
        <v>45200</v>
      </c>
      <c r="E12" s="270">
        <v>45256</v>
      </c>
    </row>
    <row r="13" spans="1:5">
      <c r="A13" s="269" t="s">
        <v>360</v>
      </c>
      <c r="B13">
        <v>0</v>
      </c>
      <c r="C13">
        <v>1</v>
      </c>
      <c r="D13" s="270">
        <v>45172</v>
      </c>
      <c r="E13" s="270">
        <v>45179</v>
      </c>
    </row>
    <row r="14" spans="1:5">
      <c r="A14" s="269" t="s">
        <v>361</v>
      </c>
      <c r="B14">
        <v>11</v>
      </c>
      <c r="C14">
        <v>15</v>
      </c>
      <c r="D14" s="270">
        <v>45249</v>
      </c>
      <c r="E14" s="270">
        <v>45277</v>
      </c>
    </row>
    <row r="15" spans="1:5">
      <c r="A15" s="269" t="s">
        <v>362</v>
      </c>
      <c r="B15">
        <v>14</v>
      </c>
      <c r="C15">
        <v>15</v>
      </c>
      <c r="D15" s="270">
        <v>45270</v>
      </c>
      <c r="E15" s="270">
        <v>45277</v>
      </c>
    </row>
    <row r="16" spans="1:5">
      <c r="A16" s="269" t="s">
        <v>397</v>
      </c>
      <c r="B16">
        <v>5</v>
      </c>
      <c r="C16">
        <v>8</v>
      </c>
      <c r="D16" s="270">
        <v>45207</v>
      </c>
      <c r="E16" s="270">
        <v>45228</v>
      </c>
    </row>
    <row r="17" spans="1:5">
      <c r="A17" s="269" t="s">
        <v>363</v>
      </c>
      <c r="B17">
        <v>0</v>
      </c>
      <c r="C17">
        <v>1</v>
      </c>
      <c r="D17" s="270">
        <v>45172</v>
      </c>
      <c r="E17" s="270">
        <v>45179</v>
      </c>
    </row>
    <row r="18" spans="1:5">
      <c r="A18" s="269" t="s">
        <v>364</v>
      </c>
      <c r="B18">
        <v>2</v>
      </c>
      <c r="C18">
        <v>3</v>
      </c>
      <c r="D18" s="270">
        <v>45186</v>
      </c>
      <c r="E18" s="270">
        <v>45193</v>
      </c>
    </row>
    <row r="19" spans="1:5">
      <c r="A19" s="269" t="s">
        <v>365</v>
      </c>
      <c r="B19">
        <v>7</v>
      </c>
      <c r="C19">
        <v>9</v>
      </c>
      <c r="D19" s="270">
        <v>45221</v>
      </c>
      <c r="E19" s="270">
        <v>45235</v>
      </c>
    </row>
    <row r="20" spans="1:5">
      <c r="A20" s="269" t="s">
        <v>366</v>
      </c>
      <c r="B20">
        <v>0</v>
      </c>
      <c r="C20">
        <v>1</v>
      </c>
      <c r="D20" s="270">
        <v>45172</v>
      </c>
      <c r="E20" s="270">
        <v>45179</v>
      </c>
    </row>
    <row r="21" spans="1:5">
      <c r="A21" s="269" t="s">
        <v>367</v>
      </c>
      <c r="B21">
        <v>1</v>
      </c>
      <c r="C21">
        <v>2</v>
      </c>
      <c r="D21" s="270">
        <v>45179</v>
      </c>
      <c r="E21" s="270">
        <v>45186</v>
      </c>
    </row>
    <row r="22" spans="1:5">
      <c r="A22" s="269" t="s">
        <v>368</v>
      </c>
      <c r="B22">
        <v>2</v>
      </c>
      <c r="C22">
        <v>3</v>
      </c>
      <c r="D22" s="270">
        <v>45186</v>
      </c>
      <c r="E22" s="270">
        <v>45193</v>
      </c>
    </row>
    <row r="23" spans="1:5">
      <c r="A23" s="269" t="s">
        <v>369</v>
      </c>
      <c r="B23">
        <v>4</v>
      </c>
      <c r="C23">
        <v>5</v>
      </c>
      <c r="D23" s="270">
        <v>45200</v>
      </c>
      <c r="E23" s="270">
        <v>45207</v>
      </c>
    </row>
    <row r="24" spans="1:5">
      <c r="A24" s="269" t="s">
        <v>370</v>
      </c>
      <c r="B24">
        <v>5</v>
      </c>
      <c r="C24">
        <v>6</v>
      </c>
      <c r="D24" s="270">
        <v>45207</v>
      </c>
      <c r="E24" s="270">
        <v>45214</v>
      </c>
    </row>
    <row r="25" spans="1:5">
      <c r="A25" s="269" t="s">
        <v>371</v>
      </c>
      <c r="B25">
        <v>11</v>
      </c>
      <c r="C25">
        <v>13</v>
      </c>
      <c r="D25" s="270">
        <v>45249</v>
      </c>
      <c r="E25" s="270">
        <v>45263</v>
      </c>
    </row>
    <row r="26" spans="1:5">
      <c r="A26" s="269" t="s">
        <v>372</v>
      </c>
      <c r="B26">
        <v>15</v>
      </c>
      <c r="C26">
        <v>15</v>
      </c>
      <c r="D26" s="270">
        <v>45277</v>
      </c>
      <c r="E26" s="270">
        <v>45277</v>
      </c>
    </row>
  </sheetData>
  <pageMargins left="0.75" right="0.75" top="1" bottom="1" header="0.5" footer="0.5"/>
  <headerFooter>
    <oddHeader>&amp;L&amp;"Calibri"&amp;12&amp;K00B294 Proprietary&amp;1#_x000D_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35C3-CCAE-B640-829D-52D212C7CD29}">
  <dimension ref="A1:E26"/>
  <sheetViews>
    <sheetView workbookViewId="0">
      <selection activeCell="A18" sqref="A18:XFD18"/>
    </sheetView>
  </sheetViews>
  <sheetFormatPr baseColWidth="10" defaultColWidth="8.83203125" defaultRowHeight="15"/>
  <cols>
    <col min="1" max="1" width="23.5" bestFit="1" customWidth="1"/>
    <col min="4" max="5" width="10.1640625" bestFit="1" customWidth="1"/>
  </cols>
  <sheetData>
    <row r="1" spans="1:5">
      <c r="B1" s="264" t="s">
        <v>375</v>
      </c>
      <c r="C1" s="264" t="s">
        <v>376</v>
      </c>
      <c r="D1" s="264" t="s">
        <v>377</v>
      </c>
      <c r="E1" s="264" t="s">
        <v>378</v>
      </c>
    </row>
    <row r="2" spans="1:5">
      <c r="A2" s="264" t="s">
        <v>349</v>
      </c>
      <c r="B2">
        <v>0</v>
      </c>
      <c r="C2">
        <v>0</v>
      </c>
      <c r="D2" t="s">
        <v>379</v>
      </c>
      <c r="E2" t="s">
        <v>379</v>
      </c>
    </row>
    <row r="3" spans="1:5">
      <c r="A3" s="264" t="s">
        <v>350</v>
      </c>
      <c r="B3">
        <v>9</v>
      </c>
      <c r="C3">
        <v>16</v>
      </c>
      <c r="D3" t="s">
        <v>380</v>
      </c>
      <c r="E3" t="s">
        <v>381</v>
      </c>
    </row>
    <row r="4" spans="1:5">
      <c r="A4" s="264" t="s">
        <v>351</v>
      </c>
      <c r="B4">
        <v>12</v>
      </c>
      <c r="C4">
        <v>16</v>
      </c>
      <c r="D4" t="s">
        <v>382</v>
      </c>
      <c r="E4" t="s">
        <v>381</v>
      </c>
    </row>
    <row r="5" spans="1:5">
      <c r="A5" s="264" t="s">
        <v>352</v>
      </c>
      <c r="B5">
        <v>0</v>
      </c>
      <c r="C5">
        <v>4</v>
      </c>
      <c r="D5" t="s">
        <v>379</v>
      </c>
      <c r="E5" t="s">
        <v>383</v>
      </c>
    </row>
    <row r="6" spans="1:5">
      <c r="A6" s="264" t="s">
        <v>353</v>
      </c>
      <c r="B6">
        <v>4</v>
      </c>
      <c r="C6">
        <v>5</v>
      </c>
      <c r="D6" t="s">
        <v>383</v>
      </c>
      <c r="E6" t="s">
        <v>384</v>
      </c>
    </row>
    <row r="7" spans="1:5">
      <c r="A7" s="264" t="s">
        <v>354</v>
      </c>
      <c r="B7">
        <v>6</v>
      </c>
      <c r="C7">
        <v>7</v>
      </c>
      <c r="D7" t="s">
        <v>385</v>
      </c>
      <c r="E7" t="s">
        <v>386</v>
      </c>
    </row>
    <row r="8" spans="1:5">
      <c r="A8" s="264" t="s">
        <v>355</v>
      </c>
      <c r="B8">
        <v>7</v>
      </c>
      <c r="C8">
        <v>8</v>
      </c>
      <c r="D8" t="s">
        <v>386</v>
      </c>
      <c r="E8" t="s">
        <v>387</v>
      </c>
    </row>
    <row r="9" spans="1:5">
      <c r="A9" s="264" t="s">
        <v>356</v>
      </c>
      <c r="B9">
        <v>10</v>
      </c>
      <c r="C9">
        <v>12</v>
      </c>
      <c r="D9" t="s">
        <v>388</v>
      </c>
      <c r="E9" t="s">
        <v>382</v>
      </c>
    </row>
    <row r="10" spans="1:5">
      <c r="A10" s="264" t="s">
        <v>357</v>
      </c>
      <c r="B10">
        <v>16</v>
      </c>
      <c r="C10">
        <v>18</v>
      </c>
      <c r="D10" t="s">
        <v>381</v>
      </c>
      <c r="E10" t="s">
        <v>389</v>
      </c>
    </row>
    <row r="11" spans="1:5">
      <c r="A11" s="264" t="s">
        <v>358</v>
      </c>
      <c r="B11">
        <v>0</v>
      </c>
      <c r="C11">
        <v>4</v>
      </c>
      <c r="D11" t="s">
        <v>379</v>
      </c>
      <c r="E11" t="s">
        <v>383</v>
      </c>
    </row>
    <row r="12" spans="1:5">
      <c r="A12" s="264" t="s">
        <v>359</v>
      </c>
      <c r="B12">
        <v>4</v>
      </c>
      <c r="C12">
        <v>12</v>
      </c>
      <c r="D12" t="s">
        <v>383</v>
      </c>
      <c r="E12" t="s">
        <v>382</v>
      </c>
    </row>
    <row r="13" spans="1:5">
      <c r="A13" s="264" t="s">
        <v>360</v>
      </c>
      <c r="B13">
        <v>12</v>
      </c>
      <c r="C13">
        <v>13</v>
      </c>
      <c r="D13" t="s">
        <v>382</v>
      </c>
      <c r="E13" t="s">
        <v>390</v>
      </c>
    </row>
    <row r="14" spans="1:5">
      <c r="A14" s="264" t="s">
        <v>361</v>
      </c>
      <c r="B14">
        <v>13</v>
      </c>
      <c r="C14">
        <v>17</v>
      </c>
      <c r="D14" t="s">
        <v>390</v>
      </c>
      <c r="E14" t="s">
        <v>391</v>
      </c>
    </row>
    <row r="15" spans="1:5">
      <c r="A15" s="264" t="s">
        <v>362</v>
      </c>
      <c r="B15">
        <v>17</v>
      </c>
      <c r="C15">
        <v>18</v>
      </c>
      <c r="D15" t="s">
        <v>391</v>
      </c>
      <c r="E15" t="s">
        <v>389</v>
      </c>
    </row>
    <row r="16" spans="1:5">
      <c r="A16" s="264" t="s">
        <v>397</v>
      </c>
      <c r="B16">
        <v>0</v>
      </c>
      <c r="C16">
        <v>3</v>
      </c>
      <c r="D16" t="s">
        <v>379</v>
      </c>
      <c r="E16" t="s">
        <v>392</v>
      </c>
    </row>
    <row r="17" spans="1:5">
      <c r="A17" s="264" t="s">
        <v>363</v>
      </c>
      <c r="B17">
        <v>0</v>
      </c>
      <c r="C17">
        <v>1</v>
      </c>
      <c r="D17" t="s">
        <v>379</v>
      </c>
      <c r="E17" t="s">
        <v>393</v>
      </c>
    </row>
    <row r="18" spans="1:5">
      <c r="A18" s="264" t="s">
        <v>364</v>
      </c>
      <c r="B18">
        <v>2</v>
      </c>
      <c r="C18">
        <v>3</v>
      </c>
      <c r="D18" t="s">
        <v>394</v>
      </c>
      <c r="E18" t="s">
        <v>392</v>
      </c>
    </row>
    <row r="19" spans="1:5">
      <c r="A19" s="264" t="s">
        <v>365</v>
      </c>
      <c r="B19">
        <v>6</v>
      </c>
      <c r="C19">
        <v>8</v>
      </c>
      <c r="D19" t="s">
        <v>385</v>
      </c>
      <c r="E19" t="s">
        <v>387</v>
      </c>
    </row>
    <row r="20" spans="1:5">
      <c r="A20" s="264" t="s">
        <v>366</v>
      </c>
      <c r="B20">
        <v>0</v>
      </c>
      <c r="C20">
        <v>1</v>
      </c>
      <c r="D20" t="s">
        <v>379</v>
      </c>
      <c r="E20" t="s">
        <v>393</v>
      </c>
    </row>
    <row r="21" spans="1:5">
      <c r="A21" s="264" t="s">
        <v>367</v>
      </c>
      <c r="B21">
        <v>3</v>
      </c>
      <c r="C21">
        <v>4</v>
      </c>
      <c r="D21" t="s">
        <v>392</v>
      </c>
      <c r="E21" t="s">
        <v>383</v>
      </c>
    </row>
    <row r="22" spans="1:5">
      <c r="A22" s="264" t="s">
        <v>368</v>
      </c>
      <c r="B22">
        <v>6</v>
      </c>
      <c r="C22">
        <v>7</v>
      </c>
      <c r="D22" t="s">
        <v>385</v>
      </c>
      <c r="E22" t="s">
        <v>386</v>
      </c>
    </row>
    <row r="23" spans="1:5">
      <c r="A23" s="264" t="s">
        <v>369</v>
      </c>
      <c r="B23">
        <v>10</v>
      </c>
      <c r="C23">
        <v>11</v>
      </c>
      <c r="D23" t="s">
        <v>388</v>
      </c>
      <c r="E23" t="s">
        <v>395</v>
      </c>
    </row>
    <row r="24" spans="1:5">
      <c r="A24" s="264" t="s">
        <v>370</v>
      </c>
      <c r="B24">
        <v>11</v>
      </c>
      <c r="C24">
        <v>12</v>
      </c>
      <c r="D24" t="s">
        <v>395</v>
      </c>
      <c r="E24" t="s">
        <v>382</v>
      </c>
    </row>
    <row r="25" spans="1:5">
      <c r="A25" s="264" t="s">
        <v>371</v>
      </c>
      <c r="B25">
        <v>13</v>
      </c>
      <c r="C25">
        <v>15</v>
      </c>
      <c r="D25" t="s">
        <v>390</v>
      </c>
      <c r="E25" t="s">
        <v>396</v>
      </c>
    </row>
    <row r="26" spans="1:5">
      <c r="A26" s="264" t="s">
        <v>372</v>
      </c>
      <c r="B26">
        <v>18</v>
      </c>
      <c r="C26">
        <v>18</v>
      </c>
      <c r="D26" t="s">
        <v>389</v>
      </c>
      <c r="E26" t="s">
        <v>389</v>
      </c>
    </row>
  </sheetData>
  <pageMargins left="0.75" right="0.75" top="1" bottom="1" header="0.5" footer="0.5"/>
  <headerFooter>
    <oddHeader>&amp;L&amp;"Calibri"&amp;12&amp;K00B294 Proprietary&amp;1#_x000D_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22B4-2B8A-6E49-865A-7976D27AB23A}">
  <dimension ref="A1:Y26"/>
  <sheetViews>
    <sheetView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O1" sqref="O1:Y26"/>
    </sheetView>
  </sheetViews>
  <sheetFormatPr baseColWidth="10" defaultRowHeight="15"/>
  <cols>
    <col min="1" max="1" width="10.83203125" style="262"/>
    <col min="2" max="2" width="25.33203125" style="262" customWidth="1"/>
    <col min="3" max="3" width="18.83203125" style="262" bestFit="1" customWidth="1"/>
    <col min="4" max="16384" width="10.83203125" style="262"/>
  </cols>
  <sheetData>
    <row r="1" spans="1:25">
      <c r="A1" s="262" t="s">
        <v>373</v>
      </c>
      <c r="B1" s="262" t="s">
        <v>374</v>
      </c>
      <c r="C1" s="262" t="s">
        <v>345</v>
      </c>
      <c r="D1" s="262" t="s">
        <v>346</v>
      </c>
      <c r="E1" s="262" t="s">
        <v>347</v>
      </c>
      <c r="F1" s="262" t="s">
        <v>286</v>
      </c>
      <c r="G1" s="262" t="s">
        <v>288</v>
      </c>
      <c r="H1" s="262" t="s">
        <v>289</v>
      </c>
      <c r="I1" s="262" t="s">
        <v>290</v>
      </c>
      <c r="J1" s="262" t="s">
        <v>292</v>
      </c>
      <c r="K1" s="262" t="s">
        <v>310</v>
      </c>
      <c r="L1" s="262" t="s">
        <v>311</v>
      </c>
      <c r="M1" s="262" t="s">
        <v>301</v>
      </c>
      <c r="N1" s="262" t="s">
        <v>316</v>
      </c>
      <c r="O1" s="262" t="s">
        <v>334</v>
      </c>
      <c r="P1" s="262" t="s">
        <v>335</v>
      </c>
      <c r="Q1" s="262" t="s">
        <v>336</v>
      </c>
      <c r="R1" s="262" t="s">
        <v>337</v>
      </c>
      <c r="S1" s="262" t="s">
        <v>338</v>
      </c>
      <c r="T1" s="262" t="s">
        <v>339</v>
      </c>
      <c r="U1" s="262" t="s">
        <v>340</v>
      </c>
      <c r="V1" s="262" t="s">
        <v>341</v>
      </c>
      <c r="W1" s="262" t="s">
        <v>342</v>
      </c>
      <c r="X1" s="262" t="s">
        <v>343</v>
      </c>
      <c r="Y1" s="263" t="s">
        <v>348</v>
      </c>
    </row>
    <row r="2" spans="1:25">
      <c r="A2" s="262">
        <v>0</v>
      </c>
      <c r="B2" s="262" t="s">
        <v>349</v>
      </c>
      <c r="C2" s="262">
        <v>0</v>
      </c>
      <c r="D2" s="262">
        <v>0</v>
      </c>
      <c r="E2" s="262">
        <v>0</v>
      </c>
      <c r="F2" s="262">
        <v>0</v>
      </c>
      <c r="G2" s="262">
        <v>0</v>
      </c>
      <c r="H2" s="262">
        <v>0</v>
      </c>
      <c r="I2" s="262">
        <v>0</v>
      </c>
      <c r="J2" s="262">
        <v>0</v>
      </c>
      <c r="K2" s="262">
        <v>0</v>
      </c>
      <c r="M2" s="262">
        <v>0</v>
      </c>
    </row>
    <row r="3" spans="1:25">
      <c r="A3" s="262">
        <v>1</v>
      </c>
      <c r="B3" s="262" t="s">
        <v>350</v>
      </c>
      <c r="C3" s="262">
        <v>7</v>
      </c>
      <c r="D3" s="262">
        <v>2</v>
      </c>
      <c r="E3" s="262">
        <v>1</v>
      </c>
      <c r="F3" s="262">
        <v>1</v>
      </c>
      <c r="G3" s="262">
        <v>1</v>
      </c>
      <c r="P3" s="262">
        <v>1</v>
      </c>
      <c r="X3" s="262">
        <v>1</v>
      </c>
    </row>
    <row r="4" spans="1:25">
      <c r="A4" s="262">
        <v>2</v>
      </c>
      <c r="B4" s="262" t="s">
        <v>351</v>
      </c>
      <c r="C4" s="262">
        <v>4</v>
      </c>
      <c r="D4" s="262">
        <v>2</v>
      </c>
      <c r="E4" s="262">
        <v>1</v>
      </c>
      <c r="F4" s="262">
        <v>1</v>
      </c>
      <c r="H4" s="262">
        <v>1</v>
      </c>
      <c r="I4" s="262">
        <v>1</v>
      </c>
      <c r="J4" s="262">
        <v>1</v>
      </c>
      <c r="O4" s="262">
        <v>1</v>
      </c>
      <c r="T4" s="262">
        <v>1</v>
      </c>
    </row>
    <row r="5" spans="1:25">
      <c r="A5" s="262">
        <v>3</v>
      </c>
      <c r="B5" s="262" t="s">
        <v>352</v>
      </c>
      <c r="C5" s="262">
        <v>4</v>
      </c>
      <c r="D5" s="262">
        <v>2</v>
      </c>
      <c r="E5" s="262">
        <v>1</v>
      </c>
      <c r="F5" s="262">
        <v>1</v>
      </c>
      <c r="H5" s="262">
        <v>1</v>
      </c>
      <c r="I5" s="262">
        <v>1</v>
      </c>
      <c r="J5" s="262">
        <v>1</v>
      </c>
      <c r="O5" s="262">
        <v>1</v>
      </c>
      <c r="T5" s="262">
        <v>1</v>
      </c>
    </row>
    <row r="6" spans="1:25">
      <c r="A6" s="262">
        <v>4</v>
      </c>
      <c r="B6" s="262" t="s">
        <v>353</v>
      </c>
      <c r="C6" s="262">
        <v>1</v>
      </c>
      <c r="D6" s="262">
        <v>2</v>
      </c>
      <c r="E6" s="262">
        <v>1</v>
      </c>
      <c r="F6" s="262">
        <v>1</v>
      </c>
      <c r="H6" s="262">
        <v>1</v>
      </c>
      <c r="I6" s="262">
        <v>1</v>
      </c>
      <c r="J6" s="262">
        <v>1</v>
      </c>
      <c r="O6" s="262">
        <v>1</v>
      </c>
      <c r="T6" s="262">
        <v>1</v>
      </c>
    </row>
    <row r="7" spans="1:25">
      <c r="A7" s="262">
        <v>5</v>
      </c>
      <c r="B7" s="262" t="s">
        <v>354</v>
      </c>
      <c r="C7" s="262">
        <v>1</v>
      </c>
      <c r="D7" s="262">
        <v>2</v>
      </c>
      <c r="E7" s="262">
        <v>1</v>
      </c>
      <c r="F7" s="262">
        <v>1</v>
      </c>
      <c r="H7" s="262">
        <v>1</v>
      </c>
      <c r="I7" s="262">
        <v>1</v>
      </c>
      <c r="J7" s="262">
        <v>1</v>
      </c>
      <c r="O7" s="262">
        <v>1</v>
      </c>
      <c r="T7" s="262">
        <v>1</v>
      </c>
    </row>
    <row r="8" spans="1:25">
      <c r="A8" s="262">
        <v>6</v>
      </c>
      <c r="B8" s="262" t="s">
        <v>355</v>
      </c>
      <c r="C8" s="262">
        <v>1</v>
      </c>
      <c r="D8" s="262">
        <v>2</v>
      </c>
      <c r="E8" s="262">
        <v>1</v>
      </c>
      <c r="F8" s="262">
        <v>1</v>
      </c>
      <c r="H8" s="262">
        <v>1</v>
      </c>
      <c r="I8" s="262">
        <v>1</v>
      </c>
      <c r="J8" s="262">
        <v>1</v>
      </c>
      <c r="O8" s="262">
        <v>1</v>
      </c>
      <c r="T8" s="262">
        <v>1</v>
      </c>
    </row>
    <row r="9" spans="1:25">
      <c r="A9" s="262">
        <v>7</v>
      </c>
      <c r="B9" s="262" t="s">
        <v>356</v>
      </c>
      <c r="C9" s="262">
        <v>2</v>
      </c>
      <c r="D9" s="262">
        <v>2</v>
      </c>
      <c r="E9" s="262">
        <v>1</v>
      </c>
      <c r="F9" s="262">
        <v>1</v>
      </c>
      <c r="H9" s="262">
        <v>1</v>
      </c>
      <c r="I9" s="262">
        <v>1</v>
      </c>
      <c r="J9" s="262">
        <v>1</v>
      </c>
      <c r="O9" s="262">
        <v>1</v>
      </c>
      <c r="T9" s="262">
        <v>1</v>
      </c>
    </row>
    <row r="10" spans="1:25">
      <c r="A10" s="262">
        <v>8</v>
      </c>
      <c r="B10" s="262" t="s">
        <v>357</v>
      </c>
      <c r="C10" s="262">
        <v>2</v>
      </c>
      <c r="D10" s="262">
        <v>2</v>
      </c>
      <c r="E10" s="262">
        <v>1</v>
      </c>
      <c r="F10" s="262">
        <v>1</v>
      </c>
      <c r="H10" s="262">
        <v>1</v>
      </c>
      <c r="I10" s="262">
        <v>1</v>
      </c>
      <c r="J10" s="262">
        <v>1</v>
      </c>
      <c r="O10" s="262">
        <v>1</v>
      </c>
      <c r="T10" s="262">
        <v>1</v>
      </c>
    </row>
    <row r="11" spans="1:25">
      <c r="A11" s="262">
        <v>9</v>
      </c>
      <c r="B11" s="262" t="s">
        <v>358</v>
      </c>
      <c r="C11" s="262">
        <v>4</v>
      </c>
      <c r="D11" s="262">
        <v>2</v>
      </c>
      <c r="E11" s="262">
        <v>1</v>
      </c>
      <c r="K11" s="262">
        <v>1</v>
      </c>
      <c r="Q11" s="262">
        <v>1</v>
      </c>
      <c r="U11" s="262">
        <v>1</v>
      </c>
    </row>
    <row r="12" spans="1:25">
      <c r="A12" s="262">
        <v>10</v>
      </c>
      <c r="B12" s="262" t="s">
        <v>359</v>
      </c>
      <c r="C12" s="262">
        <v>8</v>
      </c>
      <c r="D12" s="262">
        <v>2</v>
      </c>
      <c r="E12" s="262">
        <v>1</v>
      </c>
      <c r="K12" s="262">
        <v>1</v>
      </c>
      <c r="Q12" s="262">
        <v>1</v>
      </c>
      <c r="U12" s="262">
        <v>1</v>
      </c>
    </row>
    <row r="13" spans="1:25">
      <c r="A13" s="262">
        <v>11</v>
      </c>
      <c r="B13" s="262" t="s">
        <v>360</v>
      </c>
      <c r="C13" s="262">
        <v>1</v>
      </c>
      <c r="D13" s="262">
        <v>2</v>
      </c>
      <c r="E13" s="262">
        <v>1</v>
      </c>
      <c r="F13" s="262">
        <v>1</v>
      </c>
      <c r="I13" s="262">
        <v>1</v>
      </c>
      <c r="J13" s="262">
        <v>1</v>
      </c>
      <c r="K13" s="262">
        <v>1</v>
      </c>
      <c r="M13" s="262">
        <v>1</v>
      </c>
      <c r="O13" s="262">
        <v>1</v>
      </c>
      <c r="P13" s="262">
        <v>1</v>
      </c>
      <c r="Q13" s="262">
        <v>1</v>
      </c>
      <c r="S13" s="262">
        <v>1</v>
      </c>
      <c r="U13" s="262">
        <v>1</v>
      </c>
      <c r="V13" s="262">
        <v>1</v>
      </c>
    </row>
    <row r="14" spans="1:25">
      <c r="A14" s="262">
        <v>12</v>
      </c>
      <c r="B14" s="262" t="s">
        <v>361</v>
      </c>
      <c r="C14" s="262">
        <v>4</v>
      </c>
      <c r="D14" s="262">
        <v>2</v>
      </c>
      <c r="E14" s="262">
        <v>1</v>
      </c>
      <c r="F14" s="262">
        <v>1</v>
      </c>
      <c r="I14" s="262">
        <v>1</v>
      </c>
      <c r="J14" s="262">
        <v>1</v>
      </c>
      <c r="K14" s="262">
        <v>1</v>
      </c>
      <c r="M14" s="262">
        <v>1</v>
      </c>
      <c r="O14" s="262">
        <v>1</v>
      </c>
      <c r="P14" s="262">
        <v>1</v>
      </c>
      <c r="Q14" s="262">
        <v>1</v>
      </c>
      <c r="S14" s="262">
        <v>1</v>
      </c>
      <c r="U14" s="262">
        <v>1</v>
      </c>
      <c r="V14" s="262">
        <v>1</v>
      </c>
    </row>
    <row r="15" spans="1:25">
      <c r="A15" s="262">
        <v>13</v>
      </c>
      <c r="B15" s="262" t="s">
        <v>362</v>
      </c>
      <c r="C15" s="262">
        <v>1</v>
      </c>
      <c r="D15" s="262">
        <v>2</v>
      </c>
      <c r="E15" s="262">
        <v>1</v>
      </c>
      <c r="K15" s="262">
        <v>1</v>
      </c>
      <c r="Q15" s="262">
        <v>1</v>
      </c>
      <c r="U15" s="262">
        <v>1</v>
      </c>
    </row>
    <row r="16" spans="1:25">
      <c r="A16" s="262">
        <v>14</v>
      </c>
      <c r="B16" s="262" t="s">
        <v>397</v>
      </c>
      <c r="C16" s="262">
        <v>3</v>
      </c>
      <c r="D16" s="262">
        <v>2</v>
      </c>
      <c r="E16" s="262">
        <v>1</v>
      </c>
      <c r="H16" s="262">
        <v>1</v>
      </c>
    </row>
    <row r="17" spans="1:21">
      <c r="A17" s="262">
        <v>15</v>
      </c>
      <c r="B17" s="262" t="s">
        <v>363</v>
      </c>
      <c r="C17" s="262">
        <v>1</v>
      </c>
      <c r="D17" s="262">
        <v>2</v>
      </c>
      <c r="E17" s="262">
        <v>1</v>
      </c>
      <c r="N17" s="262">
        <v>1</v>
      </c>
      <c r="R17" s="262">
        <v>1</v>
      </c>
      <c r="T17" s="262">
        <v>1</v>
      </c>
    </row>
    <row r="18" spans="1:21">
      <c r="A18" s="262">
        <v>16</v>
      </c>
      <c r="B18" s="262" t="s">
        <v>364</v>
      </c>
      <c r="C18" s="262">
        <v>1</v>
      </c>
      <c r="D18" s="262">
        <v>2</v>
      </c>
      <c r="E18" s="262">
        <v>1</v>
      </c>
      <c r="N18" s="262">
        <v>1</v>
      </c>
      <c r="R18" s="262">
        <v>1</v>
      </c>
      <c r="T18" s="262">
        <v>1</v>
      </c>
    </row>
    <row r="19" spans="1:21">
      <c r="A19" s="262">
        <v>17</v>
      </c>
      <c r="B19" s="262" t="s">
        <v>365</v>
      </c>
      <c r="C19" s="262">
        <v>2</v>
      </c>
      <c r="D19" s="262">
        <v>2</v>
      </c>
      <c r="E19" s="262">
        <v>1</v>
      </c>
      <c r="N19" s="262">
        <v>1</v>
      </c>
      <c r="R19" s="262">
        <v>1</v>
      </c>
      <c r="T19" s="262">
        <v>1</v>
      </c>
    </row>
    <row r="20" spans="1:21">
      <c r="A20" s="262">
        <v>18</v>
      </c>
      <c r="B20" s="262" t="s">
        <v>366</v>
      </c>
      <c r="C20" s="262">
        <v>1</v>
      </c>
      <c r="D20" s="262">
        <v>2</v>
      </c>
      <c r="E20" s="262">
        <v>1</v>
      </c>
      <c r="L20" s="262">
        <v>1</v>
      </c>
      <c r="P20" s="262">
        <v>1</v>
      </c>
      <c r="U20" s="262">
        <v>1</v>
      </c>
    </row>
    <row r="21" spans="1:21">
      <c r="A21" s="262">
        <v>19</v>
      </c>
      <c r="B21" s="262" t="s">
        <v>367</v>
      </c>
      <c r="C21" s="262">
        <v>1</v>
      </c>
      <c r="D21" s="262">
        <v>2</v>
      </c>
      <c r="E21" s="262">
        <v>1</v>
      </c>
      <c r="L21" s="262">
        <v>1</v>
      </c>
      <c r="P21" s="262">
        <v>1</v>
      </c>
      <c r="U21" s="262">
        <v>1</v>
      </c>
    </row>
    <row r="22" spans="1:21">
      <c r="A22" s="262">
        <v>20</v>
      </c>
      <c r="B22" s="262" t="s">
        <v>368</v>
      </c>
      <c r="C22" s="262">
        <v>1</v>
      </c>
      <c r="D22" s="262">
        <v>2</v>
      </c>
      <c r="E22" s="262">
        <v>1</v>
      </c>
      <c r="L22" s="262">
        <v>1</v>
      </c>
      <c r="P22" s="262">
        <v>1</v>
      </c>
      <c r="U22" s="262">
        <v>1</v>
      </c>
    </row>
    <row r="23" spans="1:21">
      <c r="A23" s="262">
        <v>21</v>
      </c>
      <c r="B23" s="262" t="s">
        <v>369</v>
      </c>
      <c r="C23" s="262">
        <v>1</v>
      </c>
      <c r="D23" s="262">
        <v>2</v>
      </c>
      <c r="E23" s="262">
        <v>1</v>
      </c>
      <c r="L23" s="262">
        <v>1</v>
      </c>
      <c r="P23" s="262">
        <v>1</v>
      </c>
      <c r="U23" s="262">
        <v>1</v>
      </c>
    </row>
    <row r="24" spans="1:21">
      <c r="A24" s="262">
        <v>22</v>
      </c>
      <c r="B24" s="262" t="s">
        <v>370</v>
      </c>
      <c r="C24" s="262">
        <v>1</v>
      </c>
      <c r="D24" s="262">
        <v>2</v>
      </c>
      <c r="E24" s="262">
        <v>1</v>
      </c>
      <c r="L24" s="262">
        <v>1</v>
      </c>
      <c r="P24" s="262">
        <v>1</v>
      </c>
      <c r="U24" s="262">
        <v>1</v>
      </c>
    </row>
    <row r="25" spans="1:21">
      <c r="A25" s="262">
        <v>23</v>
      </c>
      <c r="B25" s="262" t="s">
        <v>371</v>
      </c>
      <c r="C25" s="262">
        <v>2</v>
      </c>
      <c r="D25" s="262">
        <v>2</v>
      </c>
      <c r="E25" s="262">
        <v>1</v>
      </c>
      <c r="L25" s="262">
        <v>1</v>
      </c>
      <c r="P25" s="262">
        <v>1</v>
      </c>
      <c r="U25" s="262">
        <v>1</v>
      </c>
    </row>
    <row r="26" spans="1:21">
      <c r="A26" s="262">
        <v>24</v>
      </c>
      <c r="B26" s="262" t="s">
        <v>372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M26" s="262">
        <v>0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F1A851308EE0428B5FA6D5AA583BC4" ma:contentTypeVersion="16" ma:contentTypeDescription="Create a new document." ma:contentTypeScope="" ma:versionID="053474eb68f0777080dab9e2aa56fec2">
  <xsd:schema xmlns:xsd="http://www.w3.org/2001/XMLSchema" xmlns:xs="http://www.w3.org/2001/XMLSchema" xmlns:p="http://schemas.microsoft.com/office/2006/metadata/properties" xmlns:ns1="http://schemas.microsoft.com/sharepoint/v3" xmlns:ns2="96bb7a73-8798-45f8-abb0-6b19ba26f9c8" xmlns:ns3="9bf30c9c-cdc0-46fd-ace8-6aa35ce24a7f" targetNamespace="http://schemas.microsoft.com/office/2006/metadata/properties" ma:root="true" ma:fieldsID="7b3d132472ab8ce9e722768c04d10cbf" ns1:_="" ns2:_="" ns3:_="">
    <xsd:import namespace="http://schemas.microsoft.com/sharepoint/v3"/>
    <xsd:import namespace="96bb7a73-8798-45f8-abb0-6b19ba26f9c8"/>
    <xsd:import namespace="9bf30c9c-cdc0-46fd-ace8-6aa35ce24a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bb7a73-8798-45f8-abb0-6b19ba26f9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f5e642b-91f5-4888-b018-43334a040d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30c9c-cdc0-46fd-ace8-6aa35ce24a7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54f60fc-a3b4-4e50-bda8-bfcd10503ceb}" ma:internalName="TaxCatchAll" ma:showField="CatchAllData" ma:web="9bf30c9c-cdc0-46fd-ace8-6aa35ce24a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f30c9c-cdc0-46fd-ace8-6aa35ce24a7f" xsi:nil="true"/>
    <lcf76f155ced4ddcb4097134ff3c332f xmlns="96bb7a73-8798-45f8-abb0-6b19ba26f9c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9E058B-3E6B-4C1C-AEB1-596568E306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6bb7a73-8798-45f8-abb0-6b19ba26f9c8"/>
    <ds:schemaRef ds:uri="9bf30c9c-cdc0-46fd-ace8-6aa35ce24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B4E8C8-0195-4D0F-BF34-B8CB35E82191}">
  <ds:schemaRefs>
    <ds:schemaRef ds:uri="9bf30c9c-cdc0-46fd-ace8-6aa35ce24a7f"/>
    <ds:schemaRef ds:uri="http://purl.org/dc/terms/"/>
    <ds:schemaRef ds:uri="96bb7a73-8798-45f8-abb0-6b19ba26f9c8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73C76B5-97DF-4542-9170-0973BB8CCF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Current-schedule</vt:lpstr>
      <vt:lpstr>subset</vt:lpstr>
      <vt:lpstr>draft1_list-1204</vt:lpstr>
      <vt:lpstr>optimized-1204</vt:lpstr>
      <vt:lpstr>optimized</vt:lpstr>
      <vt:lpstr>draft1_list-v4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Jenks, Anna V</dc:creator>
  <cp:keywords/>
  <dc:description/>
  <cp:lastModifiedBy>Chen, Yan</cp:lastModifiedBy>
  <cp:revision/>
  <dcterms:created xsi:type="dcterms:W3CDTF">2023-11-12T21:24:33Z</dcterms:created>
  <dcterms:modified xsi:type="dcterms:W3CDTF">2024-12-05T14:02:06Z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1acc0d-dcc4-4dc9-a2c5-be70b05a2fe6_Enabled">
    <vt:lpwstr>true</vt:lpwstr>
  </property>
  <property fmtid="{D5CDD505-2E9C-101B-9397-08002B2CF9AE}" pid="3" name="MSIP_Label_e81acc0d-dcc4-4dc9-a2c5-be70b05a2fe6_SetDate">
    <vt:lpwstr>2023-11-12T21:55:36Z</vt:lpwstr>
  </property>
  <property fmtid="{D5CDD505-2E9C-101B-9397-08002B2CF9AE}" pid="4" name="MSIP_Label_e81acc0d-dcc4-4dc9-a2c5-be70b05a2fe6_Method">
    <vt:lpwstr>Privileged</vt:lpwstr>
  </property>
  <property fmtid="{D5CDD505-2E9C-101B-9397-08002B2CF9AE}" pid="5" name="MSIP_Label_e81acc0d-dcc4-4dc9-a2c5-be70b05a2fe6_Name">
    <vt:lpwstr>e81acc0d-dcc4-4dc9-a2c5-be70b05a2fe6</vt:lpwstr>
  </property>
  <property fmtid="{D5CDD505-2E9C-101B-9397-08002B2CF9AE}" pid="6" name="MSIP_Label_e81acc0d-dcc4-4dc9-a2c5-be70b05a2fe6_SiteId">
    <vt:lpwstr>a00de4ec-48a8-43a6-be74-e31274e2060d</vt:lpwstr>
  </property>
  <property fmtid="{D5CDD505-2E9C-101B-9397-08002B2CF9AE}" pid="7" name="MSIP_Label_e81acc0d-dcc4-4dc9-a2c5-be70b05a2fe6_ActionId">
    <vt:lpwstr>8733dbda-344a-4e94-bd55-4423be7ec5bb</vt:lpwstr>
  </property>
  <property fmtid="{D5CDD505-2E9C-101B-9397-08002B2CF9AE}" pid="8" name="MSIP_Label_e81acc0d-dcc4-4dc9-a2c5-be70b05a2fe6_ContentBits">
    <vt:lpwstr>0</vt:lpwstr>
  </property>
  <property fmtid="{D5CDD505-2E9C-101B-9397-08002B2CF9AE}" pid="9" name="MerckAIPLabel">
    <vt:lpwstr>NotClassified</vt:lpwstr>
  </property>
  <property fmtid="{D5CDD505-2E9C-101B-9397-08002B2CF9AE}" pid="10" name="MerckAIPDataExchange">
    <vt:lpwstr>!MRKMIP@NotClassified</vt:lpwstr>
  </property>
  <property fmtid="{D5CDD505-2E9C-101B-9397-08002B2CF9AE}" pid="11" name="ContentTypeId">
    <vt:lpwstr>0x0101006BF1A851308EE0428B5FA6D5AA583BC4</vt:lpwstr>
  </property>
  <property fmtid="{D5CDD505-2E9C-101B-9397-08002B2CF9AE}" pid="12" name="MediaServiceImageTags">
    <vt:lpwstr/>
  </property>
</Properties>
</file>