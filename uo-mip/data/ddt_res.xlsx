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chenya68/Documents/GitHub/uo-mip/data/"/>
    </mc:Choice>
  </mc:AlternateContent>
  <xr:revisionPtr revIDLastSave="0" documentId="13_ncr:1_{21882632-8D36-B540-84CE-98DFF5BACC36}" xr6:coauthVersionLast="47" xr6:coauthVersionMax="47" xr10:uidLastSave="{00000000-0000-0000-0000-000000000000}"/>
  <bookViews>
    <workbookView xWindow="0" yWindow="760" windowWidth="30240" windowHeight="17840" activeTab="3" xr2:uid="{F9686E71-3A4C-4B06-8BB2-0EF77531922E}"/>
  </bookViews>
  <sheets>
    <sheet name="Resources" sheetId="8" r:id="rId1"/>
    <sheet name="Milestone Mapping" sheetId="2" r:id="rId2"/>
    <sheet name="complex_device" sheetId="6" r:id="rId3"/>
    <sheet name="platform_ai" sheetId="3" r:id="rId4"/>
    <sheet name="platform_pfs" sheetId="4" r:id="rId5"/>
    <sheet name="Kits" sheetId="7" r:id="rId6"/>
    <sheet name="data_validation_lists" sheetId="9" r:id="rId7"/>
  </sheets>
  <definedNames>
    <definedName name="_xlnm._FilterDatabase" localSheetId="0" hidden="1">Resources!$A$2:$R$61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7" i="7" l="1"/>
  <c r="R37" i="7"/>
  <c r="Q37" i="7"/>
  <c r="P37" i="7"/>
  <c r="O37" i="7"/>
  <c r="N37" i="7"/>
  <c r="M37" i="7"/>
  <c r="L37" i="7"/>
  <c r="K37" i="7"/>
  <c r="J37" i="7"/>
  <c r="I37" i="7"/>
  <c r="H37" i="7"/>
  <c r="G37" i="7"/>
  <c r="F37" i="7"/>
  <c r="E37" i="7"/>
  <c r="S35" i="7"/>
  <c r="R35" i="7"/>
  <c r="Q35" i="7"/>
  <c r="P35" i="7"/>
  <c r="O35" i="7"/>
  <c r="N35" i="7"/>
  <c r="M35" i="7"/>
  <c r="L35" i="7"/>
  <c r="K35" i="7"/>
  <c r="J35" i="7"/>
  <c r="I35" i="7"/>
  <c r="H35" i="7"/>
  <c r="G35" i="7"/>
  <c r="F35" i="7"/>
  <c r="E35" i="7"/>
  <c r="S34" i="7"/>
  <c r="R34" i="7"/>
  <c r="Q34" i="7"/>
  <c r="P34" i="7"/>
  <c r="O34" i="7"/>
  <c r="N34" i="7"/>
  <c r="M34" i="7"/>
  <c r="L34" i="7"/>
  <c r="K34" i="7"/>
  <c r="J34" i="7"/>
  <c r="I34" i="7"/>
  <c r="H34" i="7"/>
  <c r="G34" i="7"/>
  <c r="F34" i="7"/>
  <c r="E34" i="7"/>
  <c r="S33" i="7"/>
  <c r="R33" i="7"/>
  <c r="Q33" i="7"/>
  <c r="P33" i="7"/>
  <c r="O33" i="7"/>
  <c r="N33" i="7"/>
  <c r="M33" i="7"/>
  <c r="L33" i="7"/>
  <c r="K33" i="7"/>
  <c r="J33" i="7"/>
  <c r="I33" i="7"/>
  <c r="H33" i="7"/>
  <c r="G33" i="7"/>
  <c r="F33" i="7"/>
  <c r="E33" i="7"/>
  <c r="S32" i="7"/>
  <c r="R32" i="7"/>
  <c r="Q32" i="7"/>
  <c r="P32" i="7"/>
  <c r="O32" i="7"/>
  <c r="N32" i="7"/>
  <c r="M32" i="7"/>
  <c r="L32" i="7"/>
  <c r="K32" i="7"/>
  <c r="J32" i="7"/>
  <c r="I32" i="7"/>
  <c r="H32" i="7"/>
  <c r="G32" i="7"/>
  <c r="F32" i="7"/>
  <c r="E32" i="7"/>
  <c r="S37" i="6"/>
  <c r="R37" i="6"/>
  <c r="Q37" i="6"/>
  <c r="P37" i="6"/>
  <c r="O37" i="6"/>
  <c r="N37" i="6"/>
  <c r="M37" i="6"/>
  <c r="L37" i="6"/>
  <c r="K37" i="6"/>
  <c r="J37" i="6"/>
  <c r="I37" i="6"/>
  <c r="H37" i="6"/>
  <c r="G37" i="6"/>
  <c r="F37" i="6"/>
  <c r="E37" i="6"/>
  <c r="S35" i="6"/>
  <c r="R35" i="6"/>
  <c r="Q35" i="6"/>
  <c r="P35" i="6"/>
  <c r="O35" i="6"/>
  <c r="N35" i="6"/>
  <c r="M35" i="6"/>
  <c r="L35" i="6"/>
  <c r="K35" i="6"/>
  <c r="J35" i="6"/>
  <c r="I35" i="6"/>
  <c r="H35" i="6"/>
  <c r="G35" i="6"/>
  <c r="F35" i="6"/>
  <c r="E35" i="6"/>
  <c r="S34" i="6"/>
  <c r="R34" i="6"/>
  <c r="Q34" i="6"/>
  <c r="P34" i="6"/>
  <c r="O34" i="6"/>
  <c r="N34" i="6"/>
  <c r="M34" i="6"/>
  <c r="L34" i="6"/>
  <c r="K34" i="6"/>
  <c r="J34" i="6"/>
  <c r="I34" i="6"/>
  <c r="H34" i="6"/>
  <c r="G34" i="6"/>
  <c r="F34" i="6"/>
  <c r="E34" i="6"/>
  <c r="S33" i="6"/>
  <c r="R33" i="6"/>
  <c r="Q33" i="6"/>
  <c r="P33" i="6"/>
  <c r="O33" i="6"/>
  <c r="N33" i="6"/>
  <c r="M33" i="6"/>
  <c r="L33" i="6"/>
  <c r="K33" i="6"/>
  <c r="J33" i="6"/>
  <c r="I33" i="6"/>
  <c r="H33" i="6"/>
  <c r="G33" i="6"/>
  <c r="F33" i="6"/>
  <c r="E33" i="6"/>
  <c r="S32" i="6"/>
  <c r="R32" i="6"/>
  <c r="Q32" i="6"/>
  <c r="P32" i="6"/>
  <c r="O32" i="6"/>
  <c r="N32" i="6"/>
  <c r="M32" i="6"/>
  <c r="L32" i="6"/>
  <c r="K32" i="6"/>
  <c r="J32" i="6"/>
  <c r="I32" i="6"/>
  <c r="H32" i="6"/>
  <c r="G32" i="6"/>
  <c r="F32" i="6"/>
  <c r="E32" i="6"/>
  <c r="S37" i="4"/>
  <c r="R37" i="4"/>
  <c r="Q37" i="4"/>
  <c r="P37" i="4"/>
  <c r="O37" i="4"/>
  <c r="N37" i="4"/>
  <c r="M37" i="4"/>
  <c r="L37" i="4"/>
  <c r="K37" i="4"/>
  <c r="J37" i="4"/>
  <c r="I37" i="4"/>
  <c r="H37" i="4"/>
  <c r="G37" i="4"/>
  <c r="F37" i="4"/>
  <c r="E37" i="4"/>
  <c r="F37" i="3"/>
  <c r="G37" i="3"/>
  <c r="H37" i="3"/>
  <c r="I37" i="3"/>
  <c r="J37" i="3"/>
  <c r="K37" i="3"/>
  <c r="L37" i="3"/>
  <c r="M37" i="3"/>
  <c r="N37" i="3"/>
  <c r="O37" i="3"/>
  <c r="P37" i="3"/>
  <c r="Q37" i="3"/>
  <c r="R37" i="3"/>
  <c r="S37" i="3"/>
  <c r="E37" i="3"/>
  <c r="S35" i="4"/>
  <c r="R35" i="4"/>
  <c r="Q35" i="4"/>
  <c r="P35" i="4"/>
  <c r="O35" i="4"/>
  <c r="N35" i="4"/>
  <c r="M35" i="4"/>
  <c r="L35" i="4"/>
  <c r="K35" i="4"/>
  <c r="J35" i="4"/>
  <c r="I35" i="4"/>
  <c r="H35" i="4"/>
  <c r="G35" i="4"/>
  <c r="F35" i="4"/>
  <c r="E35" i="4"/>
  <c r="S34" i="4"/>
  <c r="R34" i="4"/>
  <c r="Q34" i="4"/>
  <c r="P34" i="4"/>
  <c r="O34" i="4"/>
  <c r="N34" i="4"/>
  <c r="M34" i="4"/>
  <c r="L34" i="4"/>
  <c r="K34" i="4"/>
  <c r="J34" i="4"/>
  <c r="I34" i="4"/>
  <c r="H34" i="4"/>
  <c r="G34" i="4"/>
  <c r="F34" i="4"/>
  <c r="E34" i="4"/>
  <c r="S33" i="4"/>
  <c r="R33" i="4"/>
  <c r="Q33" i="4"/>
  <c r="P33" i="4"/>
  <c r="O33" i="4"/>
  <c r="N33" i="4"/>
  <c r="M33" i="4"/>
  <c r="L33" i="4"/>
  <c r="K33" i="4"/>
  <c r="J33" i="4"/>
  <c r="I33" i="4"/>
  <c r="H33" i="4"/>
  <c r="G33" i="4"/>
  <c r="F33" i="4"/>
  <c r="E33" i="4"/>
  <c r="S32" i="4"/>
  <c r="R32" i="4"/>
  <c r="Q32" i="4"/>
  <c r="P32" i="4"/>
  <c r="O32" i="4"/>
  <c r="N32" i="4"/>
  <c r="M32" i="4"/>
  <c r="L32" i="4"/>
  <c r="K32" i="4"/>
  <c r="J32" i="4"/>
  <c r="I32" i="4"/>
  <c r="H32" i="4"/>
  <c r="G32" i="4"/>
  <c r="F32" i="4"/>
  <c r="E32" i="4"/>
  <c r="F32" i="3"/>
  <c r="G32" i="3"/>
  <c r="H32" i="3"/>
  <c r="I32" i="3"/>
  <c r="J32" i="3"/>
  <c r="K32" i="3"/>
  <c r="L32" i="3"/>
  <c r="M32" i="3"/>
  <c r="N32" i="3"/>
  <c r="O32" i="3"/>
  <c r="P32" i="3"/>
  <c r="Q32" i="3"/>
  <c r="R32" i="3"/>
  <c r="S32" i="3"/>
  <c r="F33" i="3"/>
  <c r="G33" i="3"/>
  <c r="H33" i="3"/>
  <c r="I33" i="3"/>
  <c r="J33" i="3"/>
  <c r="K33" i="3"/>
  <c r="L33" i="3"/>
  <c r="M33" i="3"/>
  <c r="N33" i="3"/>
  <c r="O33" i="3"/>
  <c r="P33" i="3"/>
  <c r="Q33" i="3"/>
  <c r="R33" i="3"/>
  <c r="S33" i="3"/>
  <c r="F34" i="3"/>
  <c r="G34" i="3"/>
  <c r="H34" i="3"/>
  <c r="I34" i="3"/>
  <c r="J34" i="3"/>
  <c r="K34" i="3"/>
  <c r="L34" i="3"/>
  <c r="M34" i="3"/>
  <c r="N34" i="3"/>
  <c r="O34" i="3"/>
  <c r="P34" i="3"/>
  <c r="Q34" i="3"/>
  <c r="R34" i="3"/>
  <c r="S34" i="3"/>
  <c r="F35" i="3"/>
  <c r="G35" i="3"/>
  <c r="H35" i="3"/>
  <c r="I35" i="3"/>
  <c r="J35" i="3"/>
  <c r="K35" i="3"/>
  <c r="L35" i="3"/>
  <c r="M35" i="3"/>
  <c r="N35" i="3"/>
  <c r="O35" i="3"/>
  <c r="P35" i="3"/>
  <c r="Q35" i="3"/>
  <c r="R35" i="3"/>
  <c r="S35" i="3"/>
  <c r="E35" i="3"/>
  <c r="E34" i="3"/>
  <c r="E33" i="3"/>
  <c r="E32" i="3"/>
</calcChain>
</file>

<file path=xl/sharedStrings.xml><?xml version="1.0" encoding="utf-8"?>
<sst xmlns="http://schemas.openxmlformats.org/spreadsheetml/2006/main" count="685" uniqueCount="259">
  <si>
    <t>LOS to FIH</t>
  </si>
  <si>
    <t>LOS to CPD</t>
  </si>
  <si>
    <t>LOS to Validation</t>
  </si>
  <si>
    <t>LOS to File/Launch</t>
  </si>
  <si>
    <t>LOS to Transition to Supply</t>
  </si>
  <si>
    <t>Early</t>
  </si>
  <si>
    <t>Middle</t>
  </si>
  <si>
    <t>Late</t>
  </si>
  <si>
    <t>Business case and TPP established</t>
  </si>
  <si>
    <t>Delivery technology type selected</t>
  </si>
  <si>
    <t>Platform supplier and image selected</t>
  </si>
  <si>
    <t>Ph2 clinical supplies</t>
  </si>
  <si>
    <t>PSS batches</t>
  </si>
  <si>
    <t>Merck DV testing initiated</t>
  </si>
  <si>
    <t>Ph3/Commercial image clinical supplies mfg</t>
  </si>
  <si>
    <t>CP PPQ initiated</t>
  </si>
  <si>
    <t>NBOp submission</t>
  </si>
  <si>
    <t>NDA/BLA submission</t>
  </si>
  <si>
    <t>Summative HF study execution</t>
  </si>
  <si>
    <t>Management of RTQs</t>
  </si>
  <si>
    <t>Production of launch batches</t>
  </si>
  <si>
    <t>Implementa-tion of duality/2nd source</t>
  </si>
  <si>
    <t>Initiation of second CP mfg site</t>
  </si>
  <si>
    <r>
      <rPr>
        <b/>
        <u/>
        <sz val="14"/>
        <color rgb="FF0000FF"/>
        <rFont val="Aptos Narrow"/>
        <family val="2"/>
        <scheme val="minor"/>
      </rPr>
      <t>Instructions</t>
    </r>
    <r>
      <rPr>
        <b/>
        <sz val="14"/>
        <color rgb="FF0000FF"/>
        <rFont val="Aptos Narrow"/>
        <family val="2"/>
        <scheme val="minor"/>
      </rPr>
      <t xml:space="preserve">:
Please add </t>
    </r>
    <r>
      <rPr>
        <b/>
        <u/>
        <sz val="14"/>
        <color rgb="FF0000FF"/>
        <rFont val="Aptos Narrow"/>
        <family val="2"/>
        <scheme val="minor"/>
      </rPr>
      <t>MAJOR</t>
    </r>
    <r>
      <rPr>
        <b/>
        <sz val="14"/>
        <color rgb="FF0000FF"/>
        <rFont val="Aptos Narrow"/>
        <family val="2"/>
        <scheme val="minor"/>
      </rPr>
      <t xml:space="preserve"> activities that would typically occur in each of these phases of product development, commercialization and supply.  These will serve as "anchors" as we map current and future programs to the resource models for each technology type.</t>
    </r>
  </si>
  <si>
    <r>
      <rPr>
        <b/>
        <u/>
        <sz val="14"/>
        <color rgb="FFFF0000"/>
        <rFont val="Aptos Narrow"/>
        <family val="2"/>
        <scheme val="minor"/>
      </rPr>
      <t>Assumptions</t>
    </r>
    <r>
      <rPr>
        <b/>
        <sz val="14"/>
        <color rgb="FFFF0000"/>
        <rFont val="Aptos Narrow"/>
        <family val="2"/>
        <scheme val="minor"/>
      </rPr>
      <t>:
- It is rare to have the CP image in FIH studies
- The LATE section of the LOS TtS phase is assumed to run to product end of life (or as long as DD&amp;T resources will be required)
- The duration of each phase is not expected to be equal within a program, nor across programs.</t>
    </r>
  </si>
  <si>
    <t>Early Prog lead</t>
  </si>
  <si>
    <t>Tech Assmt HF</t>
  </si>
  <si>
    <t>Tech Assmt Lead</t>
  </si>
  <si>
    <t>Tech Assmt Feasibility</t>
  </si>
  <si>
    <t>Tech Asses Modeling/Simulation</t>
  </si>
  <si>
    <t>Other DPAI</t>
  </si>
  <si>
    <t>DTEL</t>
  </si>
  <si>
    <t>DST Lead</t>
  </si>
  <si>
    <t>Design</t>
  </si>
  <si>
    <t>Molding</t>
  </si>
  <si>
    <t>Assembly</t>
  </si>
  <si>
    <t>Dev Clin Pkg</t>
  </si>
  <si>
    <t>Characterization</t>
  </si>
  <si>
    <t>DV lead</t>
  </si>
  <si>
    <t>Method Dev &amp; Test</t>
  </si>
  <si>
    <t>CCI</t>
  </si>
  <si>
    <t>Other DPPD</t>
  </si>
  <si>
    <t>HF</t>
  </si>
  <si>
    <t>Design Controls</t>
  </si>
  <si>
    <t>Dev Risk Mgmt</t>
  </si>
  <si>
    <t>Data Mgmt</t>
  </si>
  <si>
    <t>Other SHF</t>
  </si>
  <si>
    <t>Dev ExM Tech Ops</t>
  </si>
  <si>
    <t>Dev Tech Int</t>
  </si>
  <si>
    <t>Dev Prod Steward</t>
  </si>
  <si>
    <t>Glass Crit Comp</t>
  </si>
  <si>
    <t>Other DTO</t>
  </si>
  <si>
    <t>Steve</t>
  </si>
  <si>
    <t>Jeff</t>
  </si>
  <si>
    <t>Jiaying</t>
  </si>
  <si>
    <t>Dave &amp; Dave</t>
  </si>
  <si>
    <t>DPAI Sums</t>
  </si>
  <si>
    <t>DPPD Sums</t>
  </si>
  <si>
    <t>SHF Sums</t>
  </si>
  <si>
    <t>DTO Sums</t>
  </si>
  <si>
    <t>DD&amp;T Sum</t>
  </si>
  <si>
    <r>
      <rPr>
        <b/>
        <u/>
        <sz val="14"/>
        <color theme="1"/>
        <rFont val="Aptos Narrow"/>
        <family val="2"/>
        <scheme val="minor"/>
      </rPr>
      <t>Instructions</t>
    </r>
    <r>
      <rPr>
        <sz val="14"/>
        <color theme="1"/>
        <rFont val="Aptos Narrow"/>
        <family val="2"/>
        <scheme val="minor"/>
      </rPr>
      <t>:
Please enter the estimated fractional FTEs required for each role within each department.  Platform IMPLIES that existing knowledge, methods, documentation, and manufacturing/testing infrastructure exists within the network or leveraging a CMO which DD&amp;T has utilized for the same technology previously.
We will utilize correction factors to increase (or decrease) FTE needs for individual roles based on specific program conditions (e.g. use of platform but need to transfer to new site with new equipment which would have impact across several roles to different degrees)</t>
    </r>
  </si>
  <si>
    <r>
      <rPr>
        <b/>
        <u/>
        <sz val="14"/>
        <color theme="1"/>
        <rFont val="Aptos Narrow"/>
        <family val="2"/>
        <scheme val="minor"/>
      </rPr>
      <t>Instructions</t>
    </r>
    <r>
      <rPr>
        <sz val="14"/>
        <color theme="1"/>
        <rFont val="Aptos Narrow"/>
        <family val="2"/>
        <scheme val="minor"/>
      </rPr>
      <t xml:space="preserve">:
Please enter the estimated fractional FTEs required for each role within each department.  This page is for those novel, complex, customized delivery devices for which we have not previously developed/commercialized, and likely have not been commercialized by others.
This would include on-body delivery systems, implants, dry powder inhalers, intranasal, intravitreal, etc.
</t>
    </r>
  </si>
  <si>
    <t>WIN</t>
  </si>
  <si>
    <t>Name (Last)</t>
  </si>
  <si>
    <t>Name (First)</t>
  </si>
  <si>
    <t>Dept</t>
  </si>
  <si>
    <t>Level</t>
  </si>
  <si>
    <t>Prim. Utilization</t>
  </si>
  <si>
    <t>Primary Role</t>
  </si>
  <si>
    <t>Sec. Utilization</t>
  </si>
  <si>
    <t>Secondary Role</t>
  </si>
  <si>
    <t>Program 1</t>
  </si>
  <si>
    <t>Program 2</t>
  </si>
  <si>
    <t>Program 3</t>
  </si>
  <si>
    <t>Program 4</t>
  </si>
  <si>
    <t>Program 5</t>
  </si>
  <si>
    <t>Amiri</t>
  </si>
  <si>
    <t>Azadeh</t>
  </si>
  <si>
    <t>DPPD</t>
  </si>
  <si>
    <t>R3</t>
  </si>
  <si>
    <t>An</t>
  </si>
  <si>
    <t>Tanner</t>
  </si>
  <si>
    <t>R2</t>
  </si>
  <si>
    <t>Augustin</t>
  </si>
  <si>
    <t>Jephté</t>
  </si>
  <si>
    <t>R4</t>
  </si>
  <si>
    <t>Baumgarner</t>
  </si>
  <si>
    <t>Julia</t>
  </si>
  <si>
    <t>Bonanno</t>
  </si>
  <si>
    <t>Daniel</t>
  </si>
  <si>
    <t>M2</t>
  </si>
  <si>
    <t>Director/Mgmt</t>
  </si>
  <si>
    <t>Bui</t>
  </si>
  <si>
    <t>Yen</t>
  </si>
  <si>
    <t>Carney</t>
  </si>
  <si>
    <t>Christopher</t>
  </si>
  <si>
    <t>R5</t>
  </si>
  <si>
    <t>Caufield</t>
  </si>
  <si>
    <t>Elizabeth</t>
  </si>
  <si>
    <t>R1</t>
  </si>
  <si>
    <t>Granelli</t>
  </si>
  <si>
    <t>M3</t>
  </si>
  <si>
    <t>Cheng</t>
  </si>
  <si>
    <t>Juan</t>
  </si>
  <si>
    <t>Choi</t>
  </si>
  <si>
    <t>Barlgum</t>
  </si>
  <si>
    <t>Derakhshandeh</t>
  </si>
  <si>
    <t>Rozhin</t>
  </si>
  <si>
    <t>Donato</t>
  </si>
  <si>
    <t>Cruz</t>
  </si>
  <si>
    <t>Verdun</t>
  </si>
  <si>
    <t>Dante</t>
  </si>
  <si>
    <t>P3</t>
  </si>
  <si>
    <t>Cristofolli</t>
  </si>
  <si>
    <t>Eduardo</t>
  </si>
  <si>
    <t>Forrest</t>
  </si>
  <si>
    <t>William</t>
  </si>
  <si>
    <t>Gaber</t>
  </si>
  <si>
    <t>Yousef</t>
  </si>
  <si>
    <t>Hamzaoui</t>
  </si>
  <si>
    <t>Hassen</t>
  </si>
  <si>
    <t>Hsiao</t>
  </si>
  <si>
    <t>Pei-Yuan</t>
  </si>
  <si>
    <t>Hu</t>
  </si>
  <si>
    <t>Guangli</t>
  </si>
  <si>
    <t>Johnson</t>
  </si>
  <si>
    <t>Alanna</t>
  </si>
  <si>
    <t>Khilwani</t>
  </si>
  <si>
    <t>Rakesh</t>
  </si>
  <si>
    <t>Kowsari</t>
  </si>
  <si>
    <t>Kavin</t>
  </si>
  <si>
    <t>Lallow</t>
  </si>
  <si>
    <t>Emran</t>
  </si>
  <si>
    <t>Li</t>
  </si>
  <si>
    <t>Chenyang</t>
  </si>
  <si>
    <t>LI</t>
  </si>
  <si>
    <t>PENG</t>
  </si>
  <si>
    <t>Lopez</t>
  </si>
  <si>
    <t>Zachary</t>
  </si>
  <si>
    <t>Lu</t>
  </si>
  <si>
    <t>Lynn</t>
  </si>
  <si>
    <t>McCaw</t>
  </si>
  <si>
    <t>James</t>
  </si>
  <si>
    <t>McElhenney</t>
  </si>
  <si>
    <t>Kevin</t>
  </si>
  <si>
    <t>Mesica</t>
  </si>
  <si>
    <t>Arielle</t>
  </si>
  <si>
    <t>Galluppi</t>
  </si>
  <si>
    <t>Michael</t>
  </si>
  <si>
    <t>Gotliboym</t>
  </si>
  <si>
    <t>Mikhail</t>
  </si>
  <si>
    <t>Patankar</t>
  </si>
  <si>
    <t>Mukund</t>
  </si>
  <si>
    <t>Patel</t>
  </si>
  <si>
    <t>Romesh</t>
  </si>
  <si>
    <t>Kaushal</t>
  </si>
  <si>
    <t>Ranade</t>
  </si>
  <si>
    <t>Shrirang</t>
  </si>
  <si>
    <t>R7</t>
  </si>
  <si>
    <t>Sakmar</t>
  </si>
  <si>
    <t>Ryan</t>
  </si>
  <si>
    <t>Sedighiamiri</t>
  </si>
  <si>
    <t>Amin</t>
  </si>
  <si>
    <t>R6</t>
  </si>
  <si>
    <t>Seto</t>
  </si>
  <si>
    <t>Raymond</t>
  </si>
  <si>
    <t>Stowe</t>
  </si>
  <si>
    <t>Justin</t>
  </si>
  <si>
    <t>Tashjian</t>
  </si>
  <si>
    <t>Paul</t>
  </si>
  <si>
    <t>Vuong</t>
  </si>
  <si>
    <t>Brandon</t>
  </si>
  <si>
    <t>Walawalkar</t>
  </si>
  <si>
    <t>Chirag</t>
  </si>
  <si>
    <t>Wang</t>
  </si>
  <si>
    <t>Kaitlin</t>
  </si>
  <si>
    <t>Woelfel</t>
  </si>
  <si>
    <t>Mark</t>
  </si>
  <si>
    <t>Yee</t>
  </si>
  <si>
    <t>Alban</t>
  </si>
  <si>
    <t>Yeung</t>
  </si>
  <si>
    <t>Edward</t>
  </si>
  <si>
    <t>Zajac</t>
  </si>
  <si>
    <t>Nicole</t>
  </si>
  <si>
    <t>Zheng</t>
  </si>
  <si>
    <t>Zhaoxi</t>
  </si>
  <si>
    <t>Zhang</t>
  </si>
  <si>
    <t>Leilei</t>
  </si>
  <si>
    <t>Stewart</t>
  </si>
  <si>
    <t>Andrea</t>
  </si>
  <si>
    <t>C</t>
  </si>
  <si>
    <t>Astolfi</t>
  </si>
  <si>
    <t>Danette</t>
  </si>
  <si>
    <t>Kidon</t>
  </si>
  <si>
    <t>Adams</t>
  </si>
  <si>
    <t>John</t>
  </si>
  <si>
    <t>Steinman</t>
  </si>
  <si>
    <t>Max</t>
  </si>
  <si>
    <t>Shakelly</t>
  </si>
  <si>
    <t>Sidhanth</t>
  </si>
  <si>
    <t>Wirtel</t>
  </si>
  <si>
    <t>Tony</t>
  </si>
  <si>
    <t>Moin</t>
  </si>
  <si>
    <t>Zain</t>
  </si>
  <si>
    <t>Program Type</t>
  </si>
  <si>
    <t>Novel / Extras</t>
  </si>
  <si>
    <t>Department</t>
  </si>
  <si>
    <t>Role</t>
  </si>
  <si>
    <t>Programs</t>
  </si>
  <si>
    <t>DPAI</t>
  </si>
  <si>
    <t>S&amp;HF</t>
  </si>
  <si>
    <t>DTO</t>
  </si>
  <si>
    <t>LT</t>
  </si>
  <si>
    <t>Glass &amp; Crit Components</t>
  </si>
  <si>
    <t>Other S&amp;HF</t>
  </si>
  <si>
    <t>Kits</t>
  </si>
  <si>
    <t>Complex Device</t>
  </si>
  <si>
    <t>DV Method ++</t>
  </si>
  <si>
    <t>DV Method --</t>
  </si>
  <si>
    <t>HF Studies ++</t>
  </si>
  <si>
    <t>HS Studies --</t>
  </si>
  <si>
    <t>Assembly ++</t>
  </si>
  <si>
    <t>Assembly --</t>
  </si>
  <si>
    <t>Packaging ++</t>
  </si>
  <si>
    <t>Packaging --</t>
  </si>
  <si>
    <t>Mfg site ++</t>
  </si>
  <si>
    <t>Mfg site --</t>
  </si>
  <si>
    <t>Clinical supplies ++</t>
  </si>
  <si>
    <t>Clinical supplies --</t>
  </si>
  <si>
    <r>
      <rPr>
        <b/>
        <u/>
        <sz val="14"/>
        <color theme="1"/>
        <rFont val="Aptos Narrow"/>
        <family val="2"/>
        <scheme val="minor"/>
      </rPr>
      <t>Instructions</t>
    </r>
    <r>
      <rPr>
        <sz val="14"/>
        <color theme="1"/>
        <rFont val="Aptos Narrow"/>
        <family val="2"/>
        <scheme val="minor"/>
      </rPr>
      <t>:
Go to WorkDay My Team's Data Validation Report to download a spreadsheet with most of this information.  Then copy / paste name, dept, level columns here.
Then define utliization (100% if full-time and not on rotation or leave) for primary role, and use drop down to select role.  If resource spends part of their time in one role and part of their time in a secondary role, please use the secondary utilization and role columns.
Finally, in columns J-N, please enter the programs each resource are supporting (one per column if they are supporting more than one), along with the approximate allocation for each program.</t>
    </r>
  </si>
  <si>
    <t>Allocation 1</t>
  </si>
  <si>
    <t>Allocation 2</t>
  </si>
  <si>
    <t>Allocation 3</t>
  </si>
  <si>
    <t>Allocation 4</t>
  </si>
  <si>
    <t>Allocation 5</t>
  </si>
  <si>
    <t>MK-1654</t>
  </si>
  <si>
    <t>MK-7962</t>
  </si>
  <si>
    <t>MK-7240</t>
  </si>
  <si>
    <t>MK-7240 5mL</t>
  </si>
  <si>
    <t>V540A</t>
  </si>
  <si>
    <t>V503</t>
  </si>
  <si>
    <t>V350</t>
  </si>
  <si>
    <t>MK-2214</t>
  </si>
  <si>
    <t>MK-1045</t>
  </si>
  <si>
    <t>MK-5475</t>
  </si>
  <si>
    <t>Verona DPI</t>
  </si>
  <si>
    <t>MK-3000 PFS</t>
  </si>
  <si>
    <t>MK-3000 kit</t>
  </si>
  <si>
    <t>MK-8748 PFS</t>
  </si>
  <si>
    <t>MK-8748 kit</t>
  </si>
  <si>
    <t>MK-8690</t>
  </si>
  <si>
    <t>Admin/Mgmt</t>
  </si>
  <si>
    <t>Platform PFS(prefilled synrage)</t>
  </si>
  <si>
    <t>Platform AI (autoinjector)</t>
  </si>
  <si>
    <t>type</t>
  </si>
  <si>
    <t>ai</t>
  </si>
  <si>
    <t>pfs</t>
  </si>
  <si>
    <t>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</si>
</sst>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4"/>
      <color theme="1"/>
      <name val="Aptos Narrow"/>
      <family val="2"/>
      <scheme val="minor"/>
    </font>
    <font>
      <b/>
      <sz val="16"/>
      <color theme="1"/>
      <name val="Aptos Narrow"/>
      <family val="2"/>
      <scheme val="minor"/>
    </font>
    <font>
      <sz val="16"/>
      <color theme="1"/>
      <name val="Aptos Narrow"/>
      <family val="2"/>
      <scheme val="minor"/>
    </font>
    <font>
      <b/>
      <sz val="14"/>
      <color rgb="FF0000FF"/>
      <name val="Aptos Narrow"/>
      <family val="2"/>
      <scheme val="minor"/>
    </font>
    <font>
      <b/>
      <sz val="14"/>
      <color rgb="FFFF0000"/>
      <name val="Aptos Narrow"/>
      <family val="2"/>
      <scheme val="minor"/>
    </font>
    <font>
      <b/>
      <u/>
      <sz val="14"/>
      <color rgb="FF0000FF"/>
      <name val="Aptos Narrow"/>
      <family val="2"/>
      <scheme val="minor"/>
    </font>
    <font>
      <b/>
      <u/>
      <sz val="14"/>
      <color rgb="FFFF0000"/>
      <name val="Aptos Narrow"/>
      <family val="2"/>
      <scheme val="minor"/>
    </font>
    <font>
      <b/>
      <u/>
      <sz val="14"/>
      <color theme="1"/>
      <name val="Aptos Narrow"/>
      <family val="2"/>
      <scheme val="minor"/>
    </font>
    <font>
      <b/>
      <u/>
      <sz val="11"/>
      <color theme="1"/>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CC"/>
        <bgColor indexed="64"/>
      </patternFill>
    </fill>
    <fill>
      <patternFill patternType="solid">
        <fgColor theme="9" tint="0.79998168889431442"/>
        <bgColor indexed="64"/>
      </patternFill>
    </fill>
    <fill>
      <patternFill patternType="solid">
        <fgColor theme="2"/>
        <bgColor indexed="64"/>
      </patternFill>
    </fill>
  </fills>
  <borders count="5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7" fillId="0" borderId="0" xfId="0" applyFont="1" applyAlignment="1">
      <alignment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0" fillId="0" borderId="4" xfId="0" applyBorder="1" applyAlignment="1">
      <alignment wrapText="1"/>
    </xf>
    <xf numFmtId="0" fontId="0" fillId="0" borderId="18" xfId="0" applyBorder="1" applyAlignment="1">
      <alignment wrapText="1"/>
    </xf>
    <xf numFmtId="0" fontId="0" fillId="0" borderId="19" xfId="0" applyBorder="1" applyAlignment="1">
      <alignment wrapText="1"/>
    </xf>
    <xf numFmtId="0" fontId="6" fillId="0" borderId="21" xfId="0" applyFont="1" applyBorder="1" applyAlignment="1">
      <alignment horizontal="center" wrapText="1"/>
    </xf>
    <xf numFmtId="0" fontId="0" fillId="0" borderId="20" xfId="0" applyBorder="1" applyAlignment="1">
      <alignment wrapText="1"/>
    </xf>
    <xf numFmtId="0" fontId="0" fillId="0" borderId="22" xfId="0" applyBorder="1" applyAlignment="1">
      <alignment wrapText="1"/>
    </xf>
    <xf numFmtId="0" fontId="0" fillId="0" borderId="23" xfId="0" applyBorder="1" applyAlignment="1">
      <alignment wrapText="1"/>
    </xf>
    <xf numFmtId="0" fontId="3" fillId="0" borderId="28"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3" fillId="0" borderId="31" xfId="0" applyFont="1" applyBorder="1" applyAlignment="1">
      <alignment horizontal="center"/>
    </xf>
    <xf numFmtId="0" fontId="0" fillId="3" borderId="32" xfId="0" applyFill="1" applyBorder="1" applyAlignment="1">
      <alignment horizontal="right"/>
    </xf>
    <xf numFmtId="164" fontId="0" fillId="3" borderId="33" xfId="0" applyNumberFormat="1" applyFill="1" applyBorder="1" applyAlignment="1">
      <alignment horizontal="center"/>
    </xf>
    <xf numFmtId="164" fontId="0" fillId="3" borderId="34" xfId="0" applyNumberFormat="1" applyFill="1" applyBorder="1" applyAlignment="1">
      <alignment horizontal="center"/>
    </xf>
    <xf numFmtId="164" fontId="0" fillId="3" borderId="35" xfId="0" applyNumberFormat="1" applyFill="1" applyBorder="1" applyAlignment="1">
      <alignment horizontal="center"/>
    </xf>
    <xf numFmtId="164" fontId="0" fillId="3" borderId="40" xfId="0" applyNumberFormat="1" applyFill="1" applyBorder="1" applyAlignment="1">
      <alignment horizontal="center"/>
    </xf>
    <xf numFmtId="164" fontId="0" fillId="3" borderId="36" xfId="0" applyNumberFormat="1" applyFill="1" applyBorder="1" applyAlignment="1">
      <alignment horizontal="center"/>
    </xf>
    <xf numFmtId="0" fontId="0" fillId="3" borderId="37" xfId="0" applyFill="1" applyBorder="1" applyAlignment="1">
      <alignment horizontal="right"/>
    </xf>
    <xf numFmtId="164" fontId="0" fillId="3" borderId="9" xfId="0" applyNumberFormat="1" applyFill="1" applyBorder="1" applyAlignment="1">
      <alignment horizontal="center"/>
    </xf>
    <xf numFmtId="164" fontId="0" fillId="3" borderId="10" xfId="0" applyNumberFormat="1" applyFill="1" applyBorder="1" applyAlignment="1">
      <alignment horizontal="center"/>
    </xf>
    <xf numFmtId="164" fontId="0" fillId="3" borderId="11" xfId="0" applyNumberFormat="1" applyFill="1" applyBorder="1" applyAlignment="1">
      <alignment horizontal="center"/>
    </xf>
    <xf numFmtId="164" fontId="0" fillId="3" borderId="39" xfId="0" applyNumberFormat="1" applyFill="1" applyBorder="1" applyAlignment="1">
      <alignment horizontal="center"/>
    </xf>
    <xf numFmtId="164" fontId="0" fillId="3" borderId="22" xfId="0" applyNumberFormat="1" applyFill="1" applyBorder="1" applyAlignment="1">
      <alignment horizontal="center"/>
    </xf>
    <xf numFmtId="164" fontId="0" fillId="3" borderId="18" xfId="0" applyNumberFormat="1" applyFill="1" applyBorder="1" applyAlignment="1">
      <alignment horizontal="center"/>
    </xf>
    <xf numFmtId="0" fontId="0" fillId="4" borderId="37" xfId="0" applyFill="1" applyBorder="1" applyAlignment="1">
      <alignment horizontal="right"/>
    </xf>
    <xf numFmtId="164" fontId="0" fillId="4" borderId="9" xfId="0" applyNumberFormat="1" applyFill="1" applyBorder="1" applyAlignment="1">
      <alignment horizontal="center"/>
    </xf>
    <xf numFmtId="164" fontId="0" fillId="4" borderId="10" xfId="0" applyNumberFormat="1" applyFill="1" applyBorder="1" applyAlignment="1">
      <alignment horizontal="center"/>
    </xf>
    <xf numFmtId="164" fontId="0" fillId="4" borderId="11" xfId="0" applyNumberFormat="1" applyFill="1" applyBorder="1" applyAlignment="1">
      <alignment horizontal="center"/>
    </xf>
    <xf numFmtId="164" fontId="0" fillId="4" borderId="39" xfId="0" applyNumberFormat="1" applyFill="1" applyBorder="1" applyAlignment="1">
      <alignment horizontal="center"/>
    </xf>
    <xf numFmtId="164" fontId="0" fillId="4" borderId="22" xfId="0" applyNumberFormat="1" applyFill="1" applyBorder="1" applyAlignment="1">
      <alignment horizontal="center"/>
    </xf>
    <xf numFmtId="164" fontId="0" fillId="4" borderId="18" xfId="0" applyNumberFormat="1" applyFill="1" applyBorder="1" applyAlignment="1">
      <alignment horizontal="center"/>
    </xf>
    <xf numFmtId="0" fontId="0" fillId="5" borderId="37" xfId="0" applyFill="1" applyBorder="1" applyAlignment="1">
      <alignment horizontal="right"/>
    </xf>
    <xf numFmtId="164" fontId="0" fillId="5" borderId="9" xfId="0" applyNumberFormat="1" applyFill="1" applyBorder="1" applyAlignment="1">
      <alignment horizontal="center"/>
    </xf>
    <xf numFmtId="164" fontId="0" fillId="5" borderId="10" xfId="0" applyNumberFormat="1" applyFill="1" applyBorder="1" applyAlignment="1">
      <alignment horizontal="center"/>
    </xf>
    <xf numFmtId="164" fontId="0" fillId="5" borderId="11" xfId="0" applyNumberFormat="1" applyFill="1" applyBorder="1" applyAlignment="1">
      <alignment horizontal="center"/>
    </xf>
    <xf numFmtId="164" fontId="0" fillId="5" borderId="39" xfId="0" applyNumberFormat="1" applyFill="1" applyBorder="1" applyAlignment="1">
      <alignment horizontal="center"/>
    </xf>
    <xf numFmtId="164" fontId="0" fillId="5" borderId="22" xfId="0" applyNumberFormat="1" applyFill="1" applyBorder="1" applyAlignment="1">
      <alignment horizontal="center"/>
    </xf>
    <xf numFmtId="164" fontId="0" fillId="5" borderId="18" xfId="0" applyNumberFormat="1" applyFill="1" applyBorder="1" applyAlignment="1">
      <alignment horizontal="center"/>
    </xf>
    <xf numFmtId="0" fontId="0" fillId="6" borderId="37" xfId="0" applyFill="1" applyBorder="1" applyAlignment="1">
      <alignment horizontal="right"/>
    </xf>
    <xf numFmtId="164" fontId="0" fillId="6" borderId="9" xfId="0" applyNumberFormat="1" applyFill="1" applyBorder="1" applyAlignment="1">
      <alignment horizontal="center"/>
    </xf>
    <xf numFmtId="164" fontId="0" fillId="6" borderId="10" xfId="0" applyNumberFormat="1" applyFill="1" applyBorder="1" applyAlignment="1">
      <alignment horizontal="center"/>
    </xf>
    <xf numFmtId="164" fontId="0" fillId="6" borderId="11" xfId="0" applyNumberFormat="1" applyFill="1" applyBorder="1" applyAlignment="1">
      <alignment horizontal="center"/>
    </xf>
    <xf numFmtId="164" fontId="0" fillId="6" borderId="39" xfId="0" applyNumberFormat="1" applyFill="1" applyBorder="1" applyAlignment="1">
      <alignment horizontal="center"/>
    </xf>
    <xf numFmtId="164" fontId="0" fillId="6" borderId="22" xfId="0" applyNumberFormat="1" applyFill="1" applyBorder="1" applyAlignment="1">
      <alignment horizontal="center"/>
    </xf>
    <xf numFmtId="164" fontId="0" fillId="6" borderId="18" xfId="0" applyNumberFormat="1" applyFill="1" applyBorder="1" applyAlignment="1">
      <alignment horizontal="center"/>
    </xf>
    <xf numFmtId="0" fontId="0" fillId="6" borderId="38" xfId="0" applyFill="1" applyBorder="1" applyAlignment="1">
      <alignment horizontal="right"/>
    </xf>
    <xf numFmtId="164" fontId="0" fillId="6" borderId="12" xfId="0" applyNumberFormat="1" applyFill="1" applyBorder="1" applyAlignment="1">
      <alignment horizontal="center"/>
    </xf>
    <xf numFmtId="164" fontId="0" fillId="6" borderId="13" xfId="0" applyNumberFormat="1" applyFill="1" applyBorder="1" applyAlignment="1">
      <alignment horizontal="center"/>
    </xf>
    <xf numFmtId="164" fontId="0" fillId="6" borderId="14" xfId="0" applyNumberFormat="1" applyFill="1" applyBorder="1" applyAlignment="1">
      <alignment horizontal="center"/>
    </xf>
    <xf numFmtId="164" fontId="0" fillId="6" borderId="23" xfId="0" applyNumberFormat="1" applyFill="1" applyBorder="1" applyAlignment="1">
      <alignment horizontal="center"/>
    </xf>
    <xf numFmtId="164" fontId="0" fillId="6" borderId="19" xfId="0" applyNumberFormat="1" applyFill="1" applyBorder="1" applyAlignment="1">
      <alignment horizontal="center"/>
    </xf>
    <xf numFmtId="0" fontId="0" fillId="3" borderId="1" xfId="0" applyFill="1" applyBorder="1" applyAlignment="1">
      <alignment horizontal="right"/>
    </xf>
    <xf numFmtId="164" fontId="0" fillId="3" borderId="2" xfId="0" applyNumberFormat="1" applyFill="1" applyBorder="1" applyAlignment="1">
      <alignment horizontal="center"/>
    </xf>
    <xf numFmtId="164" fontId="0" fillId="3" borderId="3" xfId="0" applyNumberFormat="1" applyFill="1" applyBorder="1" applyAlignment="1">
      <alignment horizontal="center"/>
    </xf>
    <xf numFmtId="0" fontId="0" fillId="4" borderId="9" xfId="0" applyFill="1" applyBorder="1" applyAlignment="1">
      <alignment horizontal="right"/>
    </xf>
    <xf numFmtId="0" fontId="0" fillId="5" borderId="9" xfId="0" applyFill="1" applyBorder="1" applyAlignment="1">
      <alignment horizontal="right"/>
    </xf>
    <xf numFmtId="0" fontId="0" fillId="6" borderId="12" xfId="0" applyFill="1" applyBorder="1" applyAlignment="1">
      <alignment horizontal="right"/>
    </xf>
    <xf numFmtId="0" fontId="2" fillId="7" borderId="24" xfId="0" applyFont="1" applyFill="1" applyBorder="1" applyAlignment="1">
      <alignment horizontal="right"/>
    </xf>
    <xf numFmtId="164" fontId="2" fillId="7" borderId="25" xfId="0" applyNumberFormat="1" applyFont="1" applyFill="1" applyBorder="1" applyAlignment="1">
      <alignment horizontal="center"/>
    </xf>
    <xf numFmtId="164" fontId="2" fillId="7" borderId="26" xfId="0" applyNumberFormat="1" applyFont="1" applyFill="1" applyBorder="1" applyAlignment="1">
      <alignment horizontal="center"/>
    </xf>
    <xf numFmtId="0" fontId="3" fillId="0" borderId="41" xfId="0" applyFont="1" applyBorder="1" applyAlignment="1">
      <alignment horizontal="center" vertical="center" textRotation="90"/>
    </xf>
    <xf numFmtId="0" fontId="3" fillId="0" borderId="52" xfId="0" applyFont="1" applyBorder="1" applyAlignment="1">
      <alignment horizontal="center"/>
    </xf>
    <xf numFmtId="0" fontId="4" fillId="0" borderId="0" xfId="0" applyFont="1"/>
    <xf numFmtId="0" fontId="4" fillId="0" borderId="0" xfId="0" applyFont="1" applyAlignment="1">
      <alignment horizontal="center"/>
    </xf>
    <xf numFmtId="9" fontId="4" fillId="0" borderId="0" xfId="1" applyFont="1" applyAlignment="1">
      <alignment horizontal="center"/>
    </xf>
    <xf numFmtId="0" fontId="13" fillId="0" borderId="0" xfId="0" applyFont="1"/>
    <xf numFmtId="9" fontId="4" fillId="0" borderId="0" xfId="1" applyFont="1"/>
    <xf numFmtId="0" fontId="5" fillId="7" borderId="0" xfId="0" applyFont="1" applyFill="1" applyAlignment="1">
      <alignment horizontal="left" vertical="top" wrapText="1"/>
    </xf>
    <xf numFmtId="0" fontId="8" fillId="2" borderId="15" xfId="0" applyFont="1" applyFill="1" applyBorder="1" applyAlignment="1">
      <alignment horizontal="left" wrapText="1"/>
    </xf>
    <xf numFmtId="0" fontId="8" fillId="2" borderId="16" xfId="0" applyFont="1" applyFill="1" applyBorder="1" applyAlignment="1">
      <alignment horizontal="left" wrapText="1"/>
    </xf>
    <xf numFmtId="0" fontId="8" fillId="2" borderId="17" xfId="0" applyFont="1" applyFill="1" applyBorder="1" applyAlignment="1">
      <alignment horizontal="left" wrapText="1"/>
    </xf>
    <xf numFmtId="0" fontId="9" fillId="2" borderId="15" xfId="0" applyFont="1" applyFill="1" applyBorder="1" applyAlignment="1">
      <alignment horizontal="left" wrapText="1"/>
    </xf>
    <xf numFmtId="0" fontId="9" fillId="2" borderId="16" xfId="0" applyFont="1" applyFill="1" applyBorder="1" applyAlignment="1">
      <alignment horizontal="left" wrapText="1"/>
    </xf>
    <xf numFmtId="0" fontId="9" fillId="2" borderId="17" xfId="0" applyFont="1" applyFill="1" applyBorder="1" applyAlignment="1">
      <alignment horizontal="left" wrapText="1"/>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20" xfId="0" applyFont="1" applyBorder="1" applyAlignment="1">
      <alignment horizontal="center" wrapText="1"/>
    </xf>
    <xf numFmtId="0" fontId="3" fillId="3" borderId="49" xfId="0" applyFont="1" applyFill="1" applyBorder="1" applyAlignment="1">
      <alignment horizontal="center" vertical="center" textRotation="90"/>
    </xf>
    <xf numFmtId="0" fontId="3" fillId="3" borderId="50" xfId="0" applyFont="1" applyFill="1" applyBorder="1" applyAlignment="1">
      <alignment horizontal="center" vertical="center" textRotation="90"/>
    </xf>
    <xf numFmtId="0" fontId="3" fillId="3" borderId="51" xfId="0" applyFont="1" applyFill="1" applyBorder="1" applyAlignment="1">
      <alignment horizontal="center" vertical="center" textRotation="90"/>
    </xf>
    <xf numFmtId="0" fontId="3" fillId="4" borderId="49" xfId="0" applyFont="1" applyFill="1" applyBorder="1" applyAlignment="1">
      <alignment horizontal="center" vertical="center" textRotation="90"/>
    </xf>
    <xf numFmtId="0" fontId="3" fillId="4" borderId="50" xfId="0" applyFont="1" applyFill="1" applyBorder="1" applyAlignment="1">
      <alignment horizontal="center" vertical="center" textRotation="90"/>
    </xf>
    <xf numFmtId="0" fontId="3" fillId="4" borderId="51" xfId="0" applyFont="1" applyFill="1" applyBorder="1" applyAlignment="1">
      <alignment horizontal="center" vertical="center" textRotation="90"/>
    </xf>
    <xf numFmtId="0" fontId="3" fillId="5" borderId="49" xfId="0" applyFont="1" applyFill="1" applyBorder="1" applyAlignment="1">
      <alignment horizontal="center" vertical="center" textRotation="90"/>
    </xf>
    <xf numFmtId="0" fontId="3" fillId="5" borderId="50" xfId="0" applyFont="1" applyFill="1" applyBorder="1" applyAlignment="1">
      <alignment horizontal="center" vertical="center" textRotation="90"/>
    </xf>
    <xf numFmtId="0" fontId="3" fillId="5" borderId="51" xfId="0" applyFont="1" applyFill="1" applyBorder="1" applyAlignment="1">
      <alignment horizontal="center" vertical="center" textRotation="90"/>
    </xf>
    <xf numFmtId="0" fontId="3" fillId="6" borderId="49" xfId="0" applyFont="1" applyFill="1" applyBorder="1" applyAlignment="1">
      <alignment horizontal="center" vertical="center" textRotation="90"/>
    </xf>
    <xf numFmtId="0" fontId="3" fillId="6" borderId="50" xfId="0" applyFont="1" applyFill="1" applyBorder="1" applyAlignment="1">
      <alignment horizontal="center" vertical="center" textRotation="90"/>
    </xf>
    <xf numFmtId="0" fontId="3" fillId="6" borderId="51" xfId="0" applyFont="1" applyFill="1" applyBorder="1" applyAlignment="1">
      <alignment horizontal="center" vertical="center" textRotation="90"/>
    </xf>
    <xf numFmtId="0" fontId="3" fillId="0" borderId="24" xfId="0" applyFont="1"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3" fillId="0" borderId="27" xfId="0" applyFont="1" applyBorder="1" applyAlignment="1">
      <alignment horizontal="center"/>
    </xf>
    <xf numFmtId="0" fontId="5" fillId="7" borderId="42" xfId="0" applyFont="1" applyFill="1" applyBorder="1" applyAlignment="1">
      <alignment horizontal="left" vertical="top" wrapText="1"/>
    </xf>
    <xf numFmtId="0" fontId="5" fillId="7" borderId="43" xfId="0" applyFont="1" applyFill="1" applyBorder="1" applyAlignment="1">
      <alignment horizontal="left" vertical="top" wrapText="1"/>
    </xf>
    <xf numFmtId="0" fontId="5" fillId="7" borderId="44" xfId="0" applyFont="1" applyFill="1" applyBorder="1" applyAlignment="1">
      <alignment horizontal="left" vertical="top" wrapText="1"/>
    </xf>
    <xf numFmtId="0" fontId="5" fillId="7" borderId="45" xfId="0" applyFont="1" applyFill="1" applyBorder="1" applyAlignment="1">
      <alignment horizontal="left" vertical="top" wrapText="1"/>
    </xf>
    <xf numFmtId="0" fontId="5" fillId="7" borderId="41" xfId="0" applyFont="1" applyFill="1" applyBorder="1" applyAlignment="1">
      <alignment horizontal="left" vertical="top" wrapText="1"/>
    </xf>
    <xf numFmtId="0" fontId="5" fillId="7" borderId="46" xfId="0" applyFont="1" applyFill="1" applyBorder="1" applyAlignment="1">
      <alignment horizontal="left" vertical="top" wrapText="1"/>
    </xf>
    <xf numFmtId="0" fontId="5" fillId="7" borderId="47" xfId="0" applyFont="1" applyFill="1" applyBorder="1" applyAlignment="1">
      <alignment horizontal="left" vertical="top" wrapText="1"/>
    </xf>
    <xf numFmtId="0" fontId="5" fillId="7" borderId="48" xfId="0" applyFont="1" applyFill="1" applyBorder="1" applyAlignment="1">
      <alignment horizontal="left" vertical="top" wrapText="1"/>
    </xf>
    <xf numFmtId="0" fontId="3" fillId="0" borderId="53"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5567-459B-477C-8881-516D2C7AC2B2}">
  <dimension ref="A2:AC61"/>
  <sheetViews>
    <sheetView zoomScale="110" zoomScaleNormal="110" workbookViewId="0">
      <selection activeCell="F12" sqref="F12"/>
    </sheetView>
  </sheetViews>
  <sheetFormatPr baseColWidth="10" defaultColWidth="8.83203125" defaultRowHeight="16" x14ac:dyDescent="0.2"/>
  <cols>
    <col min="1" max="1" width="8.83203125" style="78"/>
    <col min="2" max="2" width="15.33203125" style="78" bestFit="1" customWidth="1"/>
    <col min="3" max="3" width="12.1640625" style="78" bestFit="1" customWidth="1"/>
    <col min="4" max="5" width="8.83203125" style="78"/>
    <col min="6" max="6" width="15" style="79" bestFit="1" customWidth="1"/>
    <col min="7" max="7" width="17.6640625" style="78" bestFit="1" customWidth="1"/>
    <col min="8" max="8" width="17.6640625" style="80" customWidth="1"/>
    <col min="9" max="9" width="17.6640625" style="78" bestFit="1" customWidth="1"/>
    <col min="10" max="10" width="10.1640625" style="78" bestFit="1" customWidth="1"/>
    <col min="11" max="11" width="10.1640625" style="82" customWidth="1"/>
    <col min="12" max="12" width="10.1640625" style="78" bestFit="1" customWidth="1"/>
    <col min="13" max="13" width="10.1640625" style="82" customWidth="1"/>
    <col min="14" max="14" width="10.1640625" style="78" bestFit="1" customWidth="1"/>
    <col min="15" max="15" width="10.1640625" style="82" customWidth="1"/>
    <col min="16" max="16" width="10.1640625" style="78" bestFit="1" customWidth="1"/>
    <col min="17" max="17" width="10.1640625" style="82" customWidth="1"/>
    <col min="18" max="18" width="10.1640625" style="78" bestFit="1" customWidth="1"/>
    <col min="19" max="19" width="10" style="82" customWidth="1"/>
    <col min="20" max="16384" width="8.83203125" style="78"/>
  </cols>
  <sheetData>
    <row r="2" spans="1:29" ht="15.75" customHeight="1" x14ac:dyDescent="0.2">
      <c r="A2" s="78" t="s">
        <v>63</v>
      </c>
      <c r="B2" s="78" t="s">
        <v>64</v>
      </c>
      <c r="C2" s="78" t="s">
        <v>65</v>
      </c>
      <c r="D2" s="78" t="s">
        <v>66</v>
      </c>
      <c r="E2" s="78" t="s">
        <v>67</v>
      </c>
      <c r="F2" s="79" t="s">
        <v>68</v>
      </c>
      <c r="G2" s="78" t="s">
        <v>69</v>
      </c>
      <c r="H2" s="80" t="s">
        <v>70</v>
      </c>
      <c r="I2" s="78" t="s">
        <v>71</v>
      </c>
      <c r="J2" s="78" t="s">
        <v>72</v>
      </c>
      <c r="K2" s="82" t="s">
        <v>231</v>
      </c>
      <c r="L2" s="78" t="s">
        <v>73</v>
      </c>
      <c r="M2" s="82" t="s">
        <v>232</v>
      </c>
      <c r="N2" s="78" t="s">
        <v>74</v>
      </c>
      <c r="O2" s="82" t="s">
        <v>233</v>
      </c>
      <c r="P2" s="78" t="s">
        <v>75</v>
      </c>
      <c r="Q2" s="82" t="s">
        <v>234</v>
      </c>
      <c r="R2" s="78" t="s">
        <v>76</v>
      </c>
      <c r="S2" s="82" t="s">
        <v>235</v>
      </c>
      <c r="U2" s="83" t="s">
        <v>230</v>
      </c>
      <c r="V2" s="83"/>
      <c r="W2" s="83"/>
      <c r="X2" s="83"/>
      <c r="Y2" s="83"/>
      <c r="Z2" s="83"/>
      <c r="AA2" s="83"/>
      <c r="AB2" s="83"/>
      <c r="AC2" s="83"/>
    </row>
    <row r="3" spans="1:29" ht="15.75" customHeight="1" x14ac:dyDescent="0.2">
      <c r="B3" s="78" t="s">
        <v>77</v>
      </c>
      <c r="C3" s="78" t="s">
        <v>78</v>
      </c>
      <c r="D3" s="78" t="s">
        <v>79</v>
      </c>
      <c r="E3" s="78" t="s">
        <v>80</v>
      </c>
      <c r="F3" s="80">
        <v>1</v>
      </c>
      <c r="G3" s="78" t="s">
        <v>37</v>
      </c>
      <c r="H3" s="80">
        <v>0</v>
      </c>
      <c r="U3" s="83"/>
      <c r="V3" s="83"/>
      <c r="W3" s="83"/>
      <c r="X3" s="83"/>
      <c r="Y3" s="83"/>
      <c r="Z3" s="83"/>
      <c r="AA3" s="83"/>
      <c r="AB3" s="83"/>
      <c r="AC3" s="83"/>
    </row>
    <row r="4" spans="1:29" ht="15.75" customHeight="1" x14ac:dyDescent="0.2">
      <c r="B4" s="78" t="s">
        <v>81</v>
      </c>
      <c r="C4" s="78" t="s">
        <v>82</v>
      </c>
      <c r="D4" s="78" t="s">
        <v>79</v>
      </c>
      <c r="E4" s="78" t="s">
        <v>83</v>
      </c>
      <c r="F4" s="80">
        <v>1</v>
      </c>
      <c r="G4" s="78" t="s">
        <v>39</v>
      </c>
      <c r="H4" s="80">
        <v>0</v>
      </c>
      <c r="U4" s="83"/>
      <c r="V4" s="83"/>
      <c r="W4" s="83"/>
      <c r="X4" s="83"/>
      <c r="Y4" s="83"/>
      <c r="Z4" s="83"/>
      <c r="AA4" s="83"/>
      <c r="AB4" s="83"/>
      <c r="AC4" s="83"/>
    </row>
    <row r="5" spans="1:29" ht="15.75" customHeight="1" x14ac:dyDescent="0.2">
      <c r="B5" s="78" t="s">
        <v>84</v>
      </c>
      <c r="C5" s="78" t="s">
        <v>85</v>
      </c>
      <c r="D5" s="78" t="s">
        <v>79</v>
      </c>
      <c r="E5" s="78" t="s">
        <v>86</v>
      </c>
      <c r="F5" s="80">
        <v>1</v>
      </c>
      <c r="G5" s="78" t="s">
        <v>38</v>
      </c>
      <c r="H5" s="80">
        <v>0</v>
      </c>
      <c r="U5" s="83"/>
      <c r="V5" s="83"/>
      <c r="W5" s="83"/>
      <c r="X5" s="83"/>
      <c r="Y5" s="83"/>
      <c r="Z5" s="83"/>
      <c r="AA5" s="83"/>
      <c r="AB5" s="83"/>
      <c r="AC5" s="83"/>
    </row>
    <row r="6" spans="1:29" ht="15.75" customHeight="1" x14ac:dyDescent="0.2">
      <c r="B6" s="78" t="s">
        <v>87</v>
      </c>
      <c r="C6" s="78" t="s">
        <v>88</v>
      </c>
      <c r="D6" s="78" t="s">
        <v>79</v>
      </c>
      <c r="E6" s="78" t="s">
        <v>83</v>
      </c>
      <c r="F6" s="80">
        <v>1</v>
      </c>
      <c r="G6" s="78" t="s">
        <v>35</v>
      </c>
      <c r="H6" s="80">
        <v>0</v>
      </c>
      <c r="U6" s="83"/>
      <c r="V6" s="83"/>
      <c r="W6" s="83"/>
      <c r="X6" s="83"/>
      <c r="Y6" s="83"/>
      <c r="Z6" s="83"/>
      <c r="AA6" s="83"/>
      <c r="AB6" s="83"/>
      <c r="AC6" s="83"/>
    </row>
    <row r="7" spans="1:29" ht="15.75" customHeight="1" x14ac:dyDescent="0.2">
      <c r="B7" s="78" t="s">
        <v>89</v>
      </c>
      <c r="C7" s="78" t="s">
        <v>90</v>
      </c>
      <c r="D7" s="78" t="s">
        <v>79</v>
      </c>
      <c r="E7" s="78" t="s">
        <v>91</v>
      </c>
      <c r="F7" s="80">
        <v>0.8</v>
      </c>
      <c r="G7" s="78" t="s">
        <v>92</v>
      </c>
      <c r="H7" s="80">
        <v>0.2</v>
      </c>
      <c r="I7" s="78" t="s">
        <v>39</v>
      </c>
      <c r="U7" s="83"/>
      <c r="V7" s="83"/>
      <c r="W7" s="83"/>
      <c r="X7" s="83"/>
      <c r="Y7" s="83"/>
      <c r="Z7" s="83"/>
      <c r="AA7" s="83"/>
      <c r="AB7" s="83"/>
      <c r="AC7" s="83"/>
    </row>
    <row r="8" spans="1:29" ht="15.75" customHeight="1" x14ac:dyDescent="0.2">
      <c r="B8" s="78" t="s">
        <v>93</v>
      </c>
      <c r="C8" s="78" t="s">
        <v>94</v>
      </c>
      <c r="D8" s="78" t="s">
        <v>79</v>
      </c>
      <c r="E8" s="78" t="s">
        <v>86</v>
      </c>
      <c r="F8" s="80">
        <v>1</v>
      </c>
      <c r="G8" s="78" t="s">
        <v>41</v>
      </c>
      <c r="H8" s="80">
        <v>0</v>
      </c>
      <c r="U8" s="83"/>
      <c r="V8" s="83"/>
      <c r="W8" s="83"/>
      <c r="X8" s="83"/>
      <c r="Y8" s="83"/>
      <c r="Z8" s="83"/>
      <c r="AA8" s="83"/>
      <c r="AB8" s="83"/>
      <c r="AC8" s="83"/>
    </row>
    <row r="9" spans="1:29" ht="15.75" customHeight="1" x14ac:dyDescent="0.2">
      <c r="B9" s="78" t="s">
        <v>95</v>
      </c>
      <c r="C9" s="78" t="s">
        <v>96</v>
      </c>
      <c r="D9" s="78" t="s">
        <v>79</v>
      </c>
      <c r="E9" s="78" t="s">
        <v>97</v>
      </c>
      <c r="F9" s="80">
        <v>1</v>
      </c>
      <c r="G9" s="78" t="s">
        <v>36</v>
      </c>
      <c r="H9" s="80">
        <v>0</v>
      </c>
      <c r="J9" s="78" t="s">
        <v>238</v>
      </c>
      <c r="K9" s="82">
        <v>0.2</v>
      </c>
      <c r="L9" s="78" t="s">
        <v>248</v>
      </c>
      <c r="M9" s="82">
        <v>0.4</v>
      </c>
      <c r="U9" s="83"/>
      <c r="V9" s="83"/>
      <c r="W9" s="83"/>
      <c r="X9" s="83"/>
      <c r="Y9" s="83"/>
      <c r="Z9" s="83"/>
      <c r="AA9" s="83"/>
      <c r="AB9" s="83"/>
      <c r="AC9" s="83"/>
    </row>
    <row r="10" spans="1:29" ht="15.75" customHeight="1" x14ac:dyDescent="0.2">
      <c r="B10" s="78" t="s">
        <v>98</v>
      </c>
      <c r="C10" s="78" t="s">
        <v>99</v>
      </c>
      <c r="D10" s="78" t="s">
        <v>79</v>
      </c>
      <c r="E10" s="78" t="s">
        <v>100</v>
      </c>
      <c r="F10" s="80">
        <v>1</v>
      </c>
      <c r="G10" s="78" t="s">
        <v>39</v>
      </c>
      <c r="H10" s="80">
        <v>0</v>
      </c>
      <c r="U10" s="83"/>
      <c r="V10" s="83"/>
      <c r="W10" s="83"/>
      <c r="X10" s="83"/>
      <c r="Y10" s="83"/>
      <c r="Z10" s="83"/>
      <c r="AA10" s="83"/>
      <c r="AB10" s="83"/>
      <c r="AC10" s="83"/>
    </row>
    <row r="11" spans="1:29" ht="15.75" customHeight="1" x14ac:dyDescent="0.2">
      <c r="B11" s="78" t="s">
        <v>101</v>
      </c>
      <c r="C11" s="78" t="s">
        <v>96</v>
      </c>
      <c r="D11" s="78" t="s">
        <v>79</v>
      </c>
      <c r="E11" s="78" t="s">
        <v>102</v>
      </c>
      <c r="F11" s="80">
        <v>1</v>
      </c>
      <c r="G11" s="78" t="s">
        <v>92</v>
      </c>
      <c r="H11" s="80">
        <v>0</v>
      </c>
      <c r="I11" s="78" t="s">
        <v>35</v>
      </c>
      <c r="U11" s="83"/>
      <c r="V11" s="83"/>
      <c r="W11" s="83"/>
      <c r="X11" s="83"/>
      <c r="Y11" s="83"/>
      <c r="Z11" s="83"/>
      <c r="AA11" s="83"/>
      <c r="AB11" s="83"/>
      <c r="AC11" s="83"/>
    </row>
    <row r="12" spans="1:29" ht="15.75" customHeight="1" x14ac:dyDescent="0.2">
      <c r="B12" s="78" t="s">
        <v>103</v>
      </c>
      <c r="C12" s="78" t="s">
        <v>104</v>
      </c>
      <c r="D12" s="78" t="s">
        <v>79</v>
      </c>
      <c r="E12" s="78" t="s">
        <v>97</v>
      </c>
      <c r="F12" s="80">
        <v>1</v>
      </c>
      <c r="G12" s="78" t="s">
        <v>31</v>
      </c>
      <c r="H12" s="80">
        <v>0</v>
      </c>
      <c r="U12" s="83"/>
      <c r="V12" s="83"/>
      <c r="W12" s="83"/>
      <c r="X12" s="83"/>
      <c r="Y12" s="83"/>
      <c r="Z12" s="83"/>
      <c r="AA12" s="83"/>
      <c r="AB12" s="83"/>
      <c r="AC12" s="83"/>
    </row>
    <row r="13" spans="1:29" ht="15.75" customHeight="1" x14ac:dyDescent="0.2">
      <c r="B13" s="78" t="s">
        <v>105</v>
      </c>
      <c r="C13" s="78" t="s">
        <v>106</v>
      </c>
      <c r="D13" s="78" t="s">
        <v>79</v>
      </c>
      <c r="E13" s="78" t="s">
        <v>86</v>
      </c>
      <c r="F13" s="80">
        <v>1</v>
      </c>
      <c r="G13" s="78" t="s">
        <v>32</v>
      </c>
      <c r="H13" s="80">
        <v>0</v>
      </c>
      <c r="U13" s="83"/>
      <c r="V13" s="83"/>
      <c r="W13" s="83"/>
      <c r="X13" s="83"/>
      <c r="Y13" s="83"/>
      <c r="Z13" s="83"/>
      <c r="AA13" s="83"/>
      <c r="AB13" s="83"/>
      <c r="AC13" s="83"/>
    </row>
    <row r="14" spans="1:29" ht="15.75" customHeight="1" x14ac:dyDescent="0.2">
      <c r="B14" s="78" t="s">
        <v>107</v>
      </c>
      <c r="C14" s="78" t="s">
        <v>108</v>
      </c>
      <c r="D14" s="78" t="s">
        <v>79</v>
      </c>
      <c r="E14" s="78" t="s">
        <v>80</v>
      </c>
      <c r="F14" s="80">
        <v>1</v>
      </c>
      <c r="G14" s="78" t="s">
        <v>37</v>
      </c>
      <c r="H14" s="80">
        <v>0</v>
      </c>
      <c r="J14" s="78" t="s">
        <v>239</v>
      </c>
      <c r="K14" s="82">
        <v>1</v>
      </c>
      <c r="U14" s="83"/>
      <c r="V14" s="83"/>
      <c r="W14" s="83"/>
      <c r="X14" s="83"/>
      <c r="Y14" s="83"/>
      <c r="Z14" s="83"/>
      <c r="AA14" s="83"/>
      <c r="AB14" s="83"/>
      <c r="AC14" s="83"/>
    </row>
    <row r="15" spans="1:29" x14ac:dyDescent="0.2">
      <c r="B15" s="78" t="s">
        <v>109</v>
      </c>
      <c r="C15" s="78" t="s">
        <v>110</v>
      </c>
      <c r="D15" s="78" t="s">
        <v>79</v>
      </c>
      <c r="E15" s="78" t="s">
        <v>83</v>
      </c>
      <c r="F15" s="80">
        <v>1</v>
      </c>
      <c r="G15" s="78" t="s">
        <v>33</v>
      </c>
      <c r="H15" s="80">
        <v>0</v>
      </c>
      <c r="I15" s="78" t="s">
        <v>36</v>
      </c>
      <c r="U15" s="83"/>
      <c r="V15" s="83"/>
      <c r="W15" s="83"/>
      <c r="X15" s="83"/>
      <c r="Y15" s="83"/>
      <c r="Z15" s="83"/>
      <c r="AA15" s="83"/>
      <c r="AB15" s="83"/>
      <c r="AC15" s="83"/>
    </row>
    <row r="16" spans="1:29" x14ac:dyDescent="0.2">
      <c r="B16" s="78" t="s">
        <v>111</v>
      </c>
      <c r="C16" s="78" t="s">
        <v>112</v>
      </c>
      <c r="D16" s="78" t="s">
        <v>79</v>
      </c>
      <c r="E16" s="78" t="s">
        <v>113</v>
      </c>
      <c r="F16" s="80">
        <v>1</v>
      </c>
      <c r="G16" s="78" t="s">
        <v>41</v>
      </c>
      <c r="H16" s="80">
        <v>0</v>
      </c>
      <c r="U16" s="83"/>
      <c r="V16" s="83"/>
      <c r="W16" s="83"/>
      <c r="X16" s="83"/>
      <c r="Y16" s="83"/>
      <c r="Z16" s="83"/>
      <c r="AA16" s="83"/>
      <c r="AB16" s="83"/>
      <c r="AC16" s="83"/>
    </row>
    <row r="17" spans="2:29" x14ac:dyDescent="0.2">
      <c r="B17" s="78" t="s">
        <v>114</v>
      </c>
      <c r="C17" s="78" t="s">
        <v>115</v>
      </c>
      <c r="D17" s="78" t="s">
        <v>79</v>
      </c>
      <c r="E17" s="78" t="s">
        <v>102</v>
      </c>
      <c r="F17" s="80">
        <v>1</v>
      </c>
      <c r="G17" s="78" t="s">
        <v>92</v>
      </c>
      <c r="H17" s="80">
        <v>0</v>
      </c>
      <c r="I17" s="78" t="s">
        <v>38</v>
      </c>
      <c r="J17" s="78" t="s">
        <v>252</v>
      </c>
      <c r="K17" s="82">
        <v>0.9</v>
      </c>
      <c r="L17" s="78" t="s">
        <v>236</v>
      </c>
      <c r="M17" s="82">
        <v>0.1</v>
      </c>
      <c r="U17" s="83"/>
      <c r="V17" s="83"/>
      <c r="W17" s="83"/>
      <c r="X17" s="83"/>
      <c r="Y17" s="83"/>
      <c r="Z17" s="83"/>
      <c r="AA17" s="83"/>
      <c r="AB17" s="83"/>
      <c r="AC17" s="83"/>
    </row>
    <row r="18" spans="2:29" x14ac:dyDescent="0.2">
      <c r="B18" s="78" t="s">
        <v>116</v>
      </c>
      <c r="C18" s="78" t="s">
        <v>117</v>
      </c>
      <c r="D18" s="78" t="s">
        <v>79</v>
      </c>
      <c r="E18" s="78" t="s">
        <v>102</v>
      </c>
      <c r="F18" s="80">
        <v>1</v>
      </c>
      <c r="G18" s="78" t="s">
        <v>92</v>
      </c>
      <c r="H18" s="80">
        <v>0</v>
      </c>
      <c r="J18" s="78" t="s">
        <v>252</v>
      </c>
      <c r="K18" s="82">
        <v>1</v>
      </c>
      <c r="U18" s="83"/>
      <c r="V18" s="83"/>
      <c r="W18" s="83"/>
      <c r="X18" s="83"/>
      <c r="Y18" s="83"/>
      <c r="Z18" s="83"/>
      <c r="AA18" s="83"/>
      <c r="AB18" s="83"/>
      <c r="AC18" s="83"/>
    </row>
    <row r="19" spans="2:29" x14ac:dyDescent="0.2">
      <c r="B19" s="78" t="s">
        <v>118</v>
      </c>
      <c r="C19" s="78" t="s">
        <v>119</v>
      </c>
      <c r="D19" s="78" t="s">
        <v>79</v>
      </c>
      <c r="E19" s="78" t="s">
        <v>83</v>
      </c>
      <c r="F19" s="80">
        <v>1</v>
      </c>
      <c r="G19" s="78" t="s">
        <v>39</v>
      </c>
      <c r="H19" s="80">
        <v>0</v>
      </c>
      <c r="U19" s="83"/>
      <c r="V19" s="83"/>
      <c r="W19" s="83"/>
      <c r="X19" s="83"/>
      <c r="Y19" s="83"/>
      <c r="Z19" s="83"/>
      <c r="AA19" s="83"/>
      <c r="AB19" s="83"/>
      <c r="AC19" s="83"/>
    </row>
    <row r="20" spans="2:29" x14ac:dyDescent="0.2">
      <c r="B20" s="78" t="s">
        <v>120</v>
      </c>
      <c r="C20" s="78" t="s">
        <v>121</v>
      </c>
      <c r="D20" s="78" t="s">
        <v>79</v>
      </c>
      <c r="E20" s="78" t="s">
        <v>80</v>
      </c>
      <c r="F20" s="80">
        <v>1</v>
      </c>
      <c r="G20" s="78" t="s">
        <v>38</v>
      </c>
      <c r="H20" s="80">
        <v>0</v>
      </c>
    </row>
    <row r="21" spans="2:29" x14ac:dyDescent="0.2">
      <c r="B21" s="78" t="s">
        <v>122</v>
      </c>
      <c r="C21" s="78" t="s">
        <v>123</v>
      </c>
      <c r="D21" s="78" t="s">
        <v>79</v>
      </c>
      <c r="E21" s="78" t="s">
        <v>80</v>
      </c>
      <c r="F21" s="80">
        <v>1</v>
      </c>
      <c r="G21" s="78" t="s">
        <v>37</v>
      </c>
      <c r="H21" s="80">
        <v>0</v>
      </c>
    </row>
    <row r="22" spans="2:29" x14ac:dyDescent="0.2">
      <c r="B22" s="78" t="s">
        <v>124</v>
      </c>
      <c r="C22" s="78" t="s">
        <v>125</v>
      </c>
      <c r="D22" s="78" t="s">
        <v>79</v>
      </c>
      <c r="E22" s="78" t="s">
        <v>102</v>
      </c>
      <c r="F22" s="80">
        <v>1</v>
      </c>
      <c r="G22" s="78" t="s">
        <v>92</v>
      </c>
      <c r="H22" s="80">
        <v>0</v>
      </c>
    </row>
    <row r="23" spans="2:29" x14ac:dyDescent="0.2">
      <c r="B23" s="78" t="s">
        <v>126</v>
      </c>
      <c r="C23" s="78" t="s">
        <v>127</v>
      </c>
      <c r="D23" s="78" t="s">
        <v>79</v>
      </c>
      <c r="E23" s="78" t="s">
        <v>83</v>
      </c>
      <c r="F23" s="80">
        <v>1</v>
      </c>
      <c r="G23" s="78" t="s">
        <v>40</v>
      </c>
      <c r="H23" s="80">
        <v>0</v>
      </c>
    </row>
    <row r="24" spans="2:29" x14ac:dyDescent="0.2">
      <c r="B24" s="78" t="s">
        <v>128</v>
      </c>
      <c r="C24" s="78" t="s">
        <v>129</v>
      </c>
      <c r="D24" s="78" t="s">
        <v>79</v>
      </c>
      <c r="E24" s="78" t="s">
        <v>97</v>
      </c>
      <c r="F24" s="80">
        <v>1</v>
      </c>
      <c r="G24" s="78" t="s">
        <v>32</v>
      </c>
      <c r="H24" s="80">
        <v>0</v>
      </c>
      <c r="I24" s="78" t="s">
        <v>31</v>
      </c>
    </row>
    <row r="25" spans="2:29" x14ac:dyDescent="0.2">
      <c r="B25" s="78" t="s">
        <v>130</v>
      </c>
      <c r="C25" s="78" t="s">
        <v>131</v>
      </c>
      <c r="D25" s="78" t="s">
        <v>79</v>
      </c>
      <c r="E25" s="78" t="s">
        <v>86</v>
      </c>
      <c r="F25" s="80">
        <v>1</v>
      </c>
      <c r="G25" s="78" t="s">
        <v>37</v>
      </c>
      <c r="H25" s="80">
        <v>0</v>
      </c>
      <c r="J25" s="78" t="s">
        <v>248</v>
      </c>
      <c r="K25" s="82">
        <v>0.8</v>
      </c>
      <c r="L25" s="78" t="s">
        <v>247</v>
      </c>
      <c r="M25" s="82">
        <v>0.2</v>
      </c>
    </row>
    <row r="26" spans="2:29" x14ac:dyDescent="0.2">
      <c r="B26" s="78" t="s">
        <v>132</v>
      </c>
      <c r="C26" s="78" t="s">
        <v>133</v>
      </c>
      <c r="D26" s="78" t="s">
        <v>79</v>
      </c>
      <c r="E26" s="78" t="s">
        <v>80</v>
      </c>
      <c r="F26" s="80">
        <v>1</v>
      </c>
      <c r="G26" s="78" t="s">
        <v>37</v>
      </c>
      <c r="H26" s="80">
        <v>0</v>
      </c>
    </row>
    <row r="27" spans="2:29" x14ac:dyDescent="0.2">
      <c r="B27" s="78" t="s">
        <v>134</v>
      </c>
      <c r="C27" s="78" t="s">
        <v>135</v>
      </c>
      <c r="D27" s="78" t="s">
        <v>79</v>
      </c>
      <c r="E27" s="78" t="s">
        <v>86</v>
      </c>
      <c r="F27" s="80">
        <v>1</v>
      </c>
      <c r="G27" s="78" t="s">
        <v>37</v>
      </c>
      <c r="H27" s="80">
        <v>0</v>
      </c>
    </row>
    <row r="28" spans="2:29" x14ac:dyDescent="0.2">
      <c r="B28" s="78" t="s">
        <v>136</v>
      </c>
      <c r="C28" s="78" t="s">
        <v>137</v>
      </c>
      <c r="D28" s="78" t="s">
        <v>79</v>
      </c>
      <c r="E28" s="78" t="s">
        <v>102</v>
      </c>
      <c r="F28" s="80">
        <v>0.2</v>
      </c>
      <c r="G28" s="78" t="s">
        <v>92</v>
      </c>
      <c r="H28" s="80">
        <v>0.8</v>
      </c>
      <c r="I28" s="78" t="s">
        <v>31</v>
      </c>
    </row>
    <row r="29" spans="2:29" x14ac:dyDescent="0.2">
      <c r="B29" s="78" t="s">
        <v>138</v>
      </c>
      <c r="C29" s="78" t="s">
        <v>139</v>
      </c>
      <c r="D29" s="78" t="s">
        <v>79</v>
      </c>
      <c r="E29" s="78" t="s">
        <v>80</v>
      </c>
      <c r="F29" s="80">
        <v>1</v>
      </c>
      <c r="G29" s="78" t="s">
        <v>39</v>
      </c>
      <c r="H29" s="80">
        <v>0</v>
      </c>
    </row>
    <row r="30" spans="2:29" x14ac:dyDescent="0.2">
      <c r="B30" s="78" t="s">
        <v>140</v>
      </c>
      <c r="C30" s="78" t="s">
        <v>141</v>
      </c>
      <c r="D30" s="78" t="s">
        <v>79</v>
      </c>
      <c r="E30" s="78" t="s">
        <v>80</v>
      </c>
      <c r="F30" s="80">
        <v>1</v>
      </c>
      <c r="G30" s="78" t="s">
        <v>39</v>
      </c>
      <c r="H30" s="80">
        <v>0</v>
      </c>
    </row>
    <row r="31" spans="2:29" x14ac:dyDescent="0.2">
      <c r="B31" s="78" t="s">
        <v>142</v>
      </c>
      <c r="C31" s="78" t="s">
        <v>143</v>
      </c>
      <c r="D31" s="78" t="s">
        <v>79</v>
      </c>
      <c r="E31" s="78" t="s">
        <v>97</v>
      </c>
      <c r="F31" s="80">
        <v>1</v>
      </c>
      <c r="G31" s="78" t="s">
        <v>92</v>
      </c>
      <c r="H31" s="80">
        <v>0</v>
      </c>
      <c r="I31" s="78" t="s">
        <v>40</v>
      </c>
    </row>
    <row r="32" spans="2:29" x14ac:dyDescent="0.2">
      <c r="B32" s="78" t="s">
        <v>144</v>
      </c>
      <c r="C32" s="78" t="s">
        <v>145</v>
      </c>
      <c r="D32" s="78" t="s">
        <v>79</v>
      </c>
      <c r="E32" s="78" t="s">
        <v>80</v>
      </c>
      <c r="F32" s="80">
        <v>1</v>
      </c>
      <c r="G32" s="78" t="s">
        <v>35</v>
      </c>
      <c r="H32" s="80">
        <v>0</v>
      </c>
    </row>
    <row r="33" spans="2:8" x14ac:dyDescent="0.2">
      <c r="B33" s="78" t="s">
        <v>146</v>
      </c>
      <c r="C33" s="78" t="s">
        <v>147</v>
      </c>
      <c r="D33" s="78" t="s">
        <v>79</v>
      </c>
      <c r="E33" s="78" t="s">
        <v>83</v>
      </c>
      <c r="F33" s="80">
        <v>1</v>
      </c>
      <c r="G33" s="78" t="s">
        <v>40</v>
      </c>
      <c r="H33" s="80">
        <v>0</v>
      </c>
    </row>
    <row r="34" spans="2:8" x14ac:dyDescent="0.2">
      <c r="B34" s="78" t="s">
        <v>148</v>
      </c>
      <c r="C34" s="78" t="s">
        <v>149</v>
      </c>
      <c r="D34" s="78" t="s">
        <v>79</v>
      </c>
      <c r="E34" s="78" t="s">
        <v>97</v>
      </c>
      <c r="F34" s="80">
        <v>1</v>
      </c>
      <c r="G34" s="78" t="s">
        <v>33</v>
      </c>
      <c r="H34" s="80">
        <v>0</v>
      </c>
    </row>
    <row r="35" spans="2:8" x14ac:dyDescent="0.2">
      <c r="B35" s="78" t="s">
        <v>150</v>
      </c>
      <c r="C35" s="78" t="s">
        <v>151</v>
      </c>
      <c r="D35" s="78" t="s">
        <v>79</v>
      </c>
      <c r="E35" s="78" t="s">
        <v>97</v>
      </c>
      <c r="F35" s="80">
        <v>1</v>
      </c>
      <c r="G35" s="78" t="s">
        <v>35</v>
      </c>
      <c r="H35" s="80">
        <v>0</v>
      </c>
    </row>
    <row r="36" spans="2:8" x14ac:dyDescent="0.2">
      <c r="B36" s="78" t="s">
        <v>152</v>
      </c>
      <c r="C36" s="78" t="s">
        <v>153</v>
      </c>
      <c r="D36" s="78" t="s">
        <v>79</v>
      </c>
      <c r="E36" s="78" t="s">
        <v>97</v>
      </c>
      <c r="F36" s="80">
        <v>1</v>
      </c>
      <c r="G36" s="78" t="s">
        <v>34</v>
      </c>
      <c r="H36" s="80">
        <v>0</v>
      </c>
    </row>
    <row r="37" spans="2:8" x14ac:dyDescent="0.2">
      <c r="B37" s="78" t="s">
        <v>154</v>
      </c>
      <c r="C37" s="78" t="s">
        <v>155</v>
      </c>
      <c r="D37" s="78" t="s">
        <v>79</v>
      </c>
      <c r="E37" s="78" t="s">
        <v>86</v>
      </c>
      <c r="F37" s="80">
        <v>1</v>
      </c>
      <c r="G37" s="78" t="s">
        <v>38</v>
      </c>
      <c r="H37" s="80">
        <v>0</v>
      </c>
    </row>
    <row r="38" spans="2:8" x14ac:dyDescent="0.2">
      <c r="B38" s="78" t="s">
        <v>154</v>
      </c>
      <c r="C38" s="78" t="s">
        <v>156</v>
      </c>
      <c r="D38" s="78" t="s">
        <v>79</v>
      </c>
      <c r="E38" s="78" t="s">
        <v>86</v>
      </c>
      <c r="F38" s="80">
        <v>1</v>
      </c>
      <c r="G38" s="78" t="s">
        <v>38</v>
      </c>
      <c r="H38" s="80">
        <v>0</v>
      </c>
    </row>
    <row r="39" spans="2:8" x14ac:dyDescent="0.2">
      <c r="B39" s="78" t="s">
        <v>157</v>
      </c>
      <c r="C39" s="78" t="s">
        <v>158</v>
      </c>
      <c r="D39" s="78" t="s">
        <v>79</v>
      </c>
      <c r="E39" s="78" t="s">
        <v>159</v>
      </c>
      <c r="F39" s="80">
        <v>1</v>
      </c>
      <c r="G39" s="78" t="s">
        <v>31</v>
      </c>
      <c r="H39" s="80">
        <v>0</v>
      </c>
    </row>
    <row r="40" spans="2:8" x14ac:dyDescent="0.2">
      <c r="B40" s="78" t="s">
        <v>160</v>
      </c>
      <c r="C40" s="78" t="s">
        <v>161</v>
      </c>
      <c r="D40" s="78" t="s">
        <v>79</v>
      </c>
      <c r="E40" s="78" t="s">
        <v>97</v>
      </c>
      <c r="F40" s="80">
        <v>1</v>
      </c>
      <c r="G40" s="78" t="s">
        <v>31</v>
      </c>
      <c r="H40" s="80">
        <v>0</v>
      </c>
    </row>
    <row r="41" spans="2:8" x14ac:dyDescent="0.2">
      <c r="B41" s="78" t="s">
        <v>162</v>
      </c>
      <c r="C41" s="78" t="s">
        <v>163</v>
      </c>
      <c r="D41" s="78" t="s">
        <v>79</v>
      </c>
      <c r="E41" s="78" t="s">
        <v>164</v>
      </c>
      <c r="F41" s="80">
        <v>1</v>
      </c>
      <c r="G41" s="78" t="s">
        <v>31</v>
      </c>
      <c r="H41" s="80">
        <v>0</v>
      </c>
    </row>
    <row r="42" spans="2:8" x14ac:dyDescent="0.2">
      <c r="B42" s="78" t="s">
        <v>165</v>
      </c>
      <c r="C42" s="78" t="s">
        <v>166</v>
      </c>
      <c r="D42" s="78" t="s">
        <v>79</v>
      </c>
      <c r="E42" s="78" t="s">
        <v>86</v>
      </c>
      <c r="F42" s="80">
        <v>1</v>
      </c>
      <c r="G42" s="78" t="s">
        <v>35</v>
      </c>
      <c r="H42" s="80">
        <v>0</v>
      </c>
    </row>
    <row r="43" spans="2:8" x14ac:dyDescent="0.2">
      <c r="B43" s="78" t="s">
        <v>167</v>
      </c>
      <c r="C43" s="78" t="s">
        <v>168</v>
      </c>
      <c r="D43" s="78" t="s">
        <v>79</v>
      </c>
      <c r="E43" s="78" t="s">
        <v>80</v>
      </c>
      <c r="F43" s="80">
        <v>1</v>
      </c>
      <c r="G43" s="78" t="s">
        <v>38</v>
      </c>
      <c r="H43" s="80">
        <v>0</v>
      </c>
    </row>
    <row r="44" spans="2:8" x14ac:dyDescent="0.2">
      <c r="B44" s="78" t="s">
        <v>169</v>
      </c>
      <c r="C44" s="78" t="s">
        <v>170</v>
      </c>
      <c r="D44" s="78" t="s">
        <v>79</v>
      </c>
      <c r="E44" s="78" t="s">
        <v>97</v>
      </c>
      <c r="F44" s="80">
        <v>1</v>
      </c>
      <c r="G44" s="78" t="s">
        <v>31</v>
      </c>
      <c r="H44" s="80">
        <v>0</v>
      </c>
    </row>
    <row r="45" spans="2:8" x14ac:dyDescent="0.2">
      <c r="B45" s="78" t="s">
        <v>171</v>
      </c>
      <c r="C45" s="78" t="s">
        <v>172</v>
      </c>
      <c r="D45" s="78" t="s">
        <v>79</v>
      </c>
      <c r="E45" s="78" t="s">
        <v>83</v>
      </c>
      <c r="F45" s="80">
        <v>1</v>
      </c>
      <c r="G45" s="78" t="s">
        <v>39</v>
      </c>
      <c r="H45" s="80">
        <v>0</v>
      </c>
    </row>
    <row r="46" spans="2:8" x14ac:dyDescent="0.2">
      <c r="B46" s="78" t="s">
        <v>173</v>
      </c>
      <c r="C46" s="78" t="s">
        <v>174</v>
      </c>
      <c r="D46" s="78" t="s">
        <v>79</v>
      </c>
      <c r="E46" s="78" t="s">
        <v>102</v>
      </c>
      <c r="F46" s="80">
        <v>1</v>
      </c>
      <c r="G46" s="78" t="s">
        <v>92</v>
      </c>
      <c r="H46" s="80">
        <v>0</v>
      </c>
    </row>
    <row r="47" spans="2:8" x14ac:dyDescent="0.2">
      <c r="B47" s="78" t="s">
        <v>175</v>
      </c>
      <c r="C47" s="78" t="s">
        <v>176</v>
      </c>
      <c r="D47" s="78" t="s">
        <v>79</v>
      </c>
      <c r="E47" s="78" t="s">
        <v>80</v>
      </c>
      <c r="F47" s="80">
        <v>1</v>
      </c>
      <c r="G47" s="78" t="s">
        <v>37</v>
      </c>
      <c r="H47" s="80">
        <v>0</v>
      </c>
    </row>
    <row r="48" spans="2:8" x14ac:dyDescent="0.2">
      <c r="B48" s="78" t="s">
        <v>177</v>
      </c>
      <c r="C48" s="78" t="s">
        <v>178</v>
      </c>
      <c r="D48" s="78" t="s">
        <v>79</v>
      </c>
      <c r="E48" s="78" t="s">
        <v>86</v>
      </c>
      <c r="F48" s="80">
        <v>1</v>
      </c>
      <c r="G48" s="78" t="s">
        <v>35</v>
      </c>
      <c r="H48" s="80">
        <v>0</v>
      </c>
    </row>
    <row r="49" spans="2:9" x14ac:dyDescent="0.2">
      <c r="B49" s="78" t="s">
        <v>179</v>
      </c>
      <c r="C49" s="78" t="s">
        <v>180</v>
      </c>
      <c r="D49" s="78" t="s">
        <v>79</v>
      </c>
      <c r="E49" s="78" t="s">
        <v>86</v>
      </c>
      <c r="F49" s="80">
        <v>1</v>
      </c>
      <c r="G49" s="78" t="s">
        <v>32</v>
      </c>
      <c r="H49" s="80">
        <v>0</v>
      </c>
      <c r="I49" s="78" t="s">
        <v>38</v>
      </c>
    </row>
    <row r="50" spans="2:9" x14ac:dyDescent="0.2">
      <c r="B50" s="78" t="s">
        <v>181</v>
      </c>
      <c r="C50" s="78" t="s">
        <v>182</v>
      </c>
      <c r="D50" s="78" t="s">
        <v>79</v>
      </c>
      <c r="E50" s="78" t="s">
        <v>80</v>
      </c>
      <c r="F50" s="80">
        <v>1</v>
      </c>
      <c r="G50" s="78" t="s">
        <v>35</v>
      </c>
      <c r="H50" s="80">
        <v>0</v>
      </c>
      <c r="I50" s="78" t="s">
        <v>32</v>
      </c>
    </row>
    <row r="51" spans="2:9" x14ac:dyDescent="0.2">
      <c r="B51" s="78" t="s">
        <v>183</v>
      </c>
      <c r="C51" s="78" t="s">
        <v>184</v>
      </c>
      <c r="D51" s="78" t="s">
        <v>79</v>
      </c>
      <c r="E51" s="78" t="s">
        <v>100</v>
      </c>
      <c r="F51" s="80">
        <v>1</v>
      </c>
      <c r="G51" s="78" t="s">
        <v>39</v>
      </c>
      <c r="H51" s="80">
        <v>0</v>
      </c>
    </row>
    <row r="52" spans="2:9" x14ac:dyDescent="0.2">
      <c r="B52" s="78" t="s">
        <v>185</v>
      </c>
      <c r="C52" s="78" t="s">
        <v>186</v>
      </c>
      <c r="D52" s="78" t="s">
        <v>79</v>
      </c>
      <c r="E52" s="78" t="s">
        <v>100</v>
      </c>
      <c r="F52" s="80">
        <v>1</v>
      </c>
      <c r="G52" s="78" t="s">
        <v>37</v>
      </c>
      <c r="H52" s="80">
        <v>0</v>
      </c>
    </row>
    <row r="53" spans="2:9" x14ac:dyDescent="0.2">
      <c r="B53" s="78" t="s">
        <v>187</v>
      </c>
      <c r="C53" s="78" t="s">
        <v>188</v>
      </c>
      <c r="D53" s="78" t="s">
        <v>79</v>
      </c>
      <c r="E53" s="78" t="s">
        <v>97</v>
      </c>
      <c r="F53" s="80">
        <v>1</v>
      </c>
      <c r="G53" s="78" t="s">
        <v>31</v>
      </c>
      <c r="H53" s="80">
        <v>0</v>
      </c>
    </row>
    <row r="54" spans="2:9" x14ac:dyDescent="0.2">
      <c r="B54" s="78" t="s">
        <v>189</v>
      </c>
      <c r="C54" s="78" t="s">
        <v>190</v>
      </c>
      <c r="D54" s="78" t="s">
        <v>79</v>
      </c>
      <c r="E54" s="78" t="s">
        <v>191</v>
      </c>
      <c r="F54" s="80">
        <v>0.75</v>
      </c>
      <c r="G54" s="78" t="s">
        <v>41</v>
      </c>
      <c r="H54" s="80">
        <v>0</v>
      </c>
    </row>
    <row r="55" spans="2:9" x14ac:dyDescent="0.2">
      <c r="B55" s="78" t="s">
        <v>192</v>
      </c>
      <c r="C55" s="78" t="s">
        <v>193</v>
      </c>
      <c r="D55" s="78" t="s">
        <v>79</v>
      </c>
      <c r="E55" s="78" t="s">
        <v>191</v>
      </c>
      <c r="F55" s="80">
        <v>1</v>
      </c>
      <c r="G55" s="78" t="s">
        <v>41</v>
      </c>
      <c r="H55" s="80">
        <v>0</v>
      </c>
    </row>
    <row r="56" spans="2:9" x14ac:dyDescent="0.2">
      <c r="B56" s="78" t="s">
        <v>194</v>
      </c>
      <c r="C56" s="78" t="s">
        <v>90</v>
      </c>
      <c r="D56" s="78" t="s">
        <v>79</v>
      </c>
      <c r="E56" s="78" t="s">
        <v>191</v>
      </c>
      <c r="F56" s="80">
        <v>1</v>
      </c>
      <c r="G56" s="78" t="s">
        <v>39</v>
      </c>
      <c r="H56" s="80">
        <v>0</v>
      </c>
    </row>
    <row r="57" spans="2:9" x14ac:dyDescent="0.2">
      <c r="B57" s="78" t="s">
        <v>195</v>
      </c>
      <c r="C57" s="78" t="s">
        <v>196</v>
      </c>
      <c r="D57" s="78" t="s">
        <v>79</v>
      </c>
      <c r="E57" s="78" t="s">
        <v>191</v>
      </c>
      <c r="F57" s="80">
        <v>1</v>
      </c>
      <c r="G57" s="78" t="s">
        <v>41</v>
      </c>
      <c r="H57" s="80">
        <v>0</v>
      </c>
    </row>
    <row r="58" spans="2:9" x14ac:dyDescent="0.2">
      <c r="B58" s="78" t="s">
        <v>197</v>
      </c>
      <c r="C58" s="78" t="s">
        <v>198</v>
      </c>
      <c r="D58" s="78" t="s">
        <v>79</v>
      </c>
      <c r="E58" s="78" t="s">
        <v>191</v>
      </c>
      <c r="F58" s="80">
        <v>1</v>
      </c>
      <c r="G58" s="78" t="s">
        <v>39</v>
      </c>
      <c r="H58" s="80">
        <v>0</v>
      </c>
    </row>
    <row r="59" spans="2:9" x14ac:dyDescent="0.2">
      <c r="B59" s="78" t="s">
        <v>199</v>
      </c>
      <c r="C59" s="78" t="s">
        <v>200</v>
      </c>
      <c r="D59" s="78" t="s">
        <v>79</v>
      </c>
      <c r="E59" s="78" t="s">
        <v>191</v>
      </c>
      <c r="F59" s="80">
        <v>1</v>
      </c>
      <c r="G59" s="78" t="s">
        <v>39</v>
      </c>
      <c r="H59" s="80">
        <v>0</v>
      </c>
    </row>
    <row r="60" spans="2:9" x14ac:dyDescent="0.2">
      <c r="B60" s="78" t="s">
        <v>201</v>
      </c>
      <c r="C60" s="78" t="s">
        <v>202</v>
      </c>
      <c r="D60" s="78" t="s">
        <v>79</v>
      </c>
      <c r="E60" s="78" t="s">
        <v>191</v>
      </c>
      <c r="F60" s="80">
        <v>1</v>
      </c>
      <c r="G60" s="78" t="s">
        <v>41</v>
      </c>
      <c r="H60" s="80">
        <v>0</v>
      </c>
    </row>
    <row r="61" spans="2:9" x14ac:dyDescent="0.2">
      <c r="B61" s="78" t="s">
        <v>203</v>
      </c>
      <c r="C61" s="78" t="s">
        <v>204</v>
      </c>
      <c r="D61" s="78" t="s">
        <v>79</v>
      </c>
      <c r="E61" s="78" t="s">
        <v>191</v>
      </c>
      <c r="F61" s="80">
        <v>1</v>
      </c>
      <c r="G61" s="78" t="s">
        <v>40</v>
      </c>
      <c r="H61" s="80">
        <v>0</v>
      </c>
    </row>
  </sheetData>
  <autoFilter ref="A2:R61" xr:uid="{B5F3274D-0104-447E-A593-1B75E7F25CFF}"/>
  <mergeCells count="1">
    <mergeCell ref="U2:AC1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C4CEB8A-7D03-4EB8-8B8B-7B3BC468E077}">
          <x14:formula1>
            <xm:f>data_validation_lists!$J$3:$J$31</xm:f>
          </x14:formula1>
          <xm:sqref>J1:J1048576 L1:L1048576 N1:N1048576 P1:P1048576 R1:R1048576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7F8E-DA3F-446A-8883-91196C626A09}">
  <dimension ref="B1:P10"/>
  <sheetViews>
    <sheetView workbookViewId="0">
      <selection activeCell="O6" sqref="O6"/>
    </sheetView>
  </sheetViews>
  <sheetFormatPr baseColWidth="10" defaultColWidth="8.83203125" defaultRowHeight="15" x14ac:dyDescent="0.2"/>
  <cols>
    <col min="1" max="1" width="11.6640625" style="1" customWidth="1"/>
    <col min="2" max="16" width="13.33203125" style="1" customWidth="1"/>
    <col min="17" max="16384" width="8.83203125" style="1"/>
  </cols>
  <sheetData>
    <row r="1" spans="2:16" ht="16" thickBot="1" x14ac:dyDescent="0.25"/>
    <row r="2" spans="2:16" ht="65.25" customHeight="1" thickBot="1" x14ac:dyDescent="0.3">
      <c r="B2" s="84" t="s">
        <v>23</v>
      </c>
      <c r="C2" s="85"/>
      <c r="D2" s="85"/>
      <c r="E2" s="85"/>
      <c r="F2" s="85"/>
      <c r="G2" s="85"/>
      <c r="H2" s="85"/>
      <c r="I2" s="85"/>
      <c r="J2" s="85"/>
      <c r="K2" s="85"/>
      <c r="L2" s="85"/>
      <c r="M2" s="85"/>
      <c r="N2" s="85"/>
      <c r="O2" s="85"/>
      <c r="P2" s="86"/>
    </row>
    <row r="3" spans="2:16" ht="16" thickBot="1" x14ac:dyDescent="0.25"/>
    <row r="4" spans="2:16" s="11" customFormat="1" ht="22" x14ac:dyDescent="0.3">
      <c r="B4" s="90" t="s">
        <v>0</v>
      </c>
      <c r="C4" s="91"/>
      <c r="D4" s="92"/>
      <c r="E4" s="93" t="s">
        <v>1</v>
      </c>
      <c r="F4" s="91"/>
      <c r="G4" s="94"/>
      <c r="H4" s="90" t="s">
        <v>2</v>
      </c>
      <c r="I4" s="91"/>
      <c r="J4" s="92"/>
      <c r="K4" s="93" t="s">
        <v>3</v>
      </c>
      <c r="L4" s="91"/>
      <c r="M4" s="94"/>
      <c r="N4" s="90" t="s">
        <v>4</v>
      </c>
      <c r="O4" s="91"/>
      <c r="P4" s="92"/>
    </row>
    <row r="5" spans="2:16" s="11" customFormat="1" ht="24" thickBot="1" x14ac:dyDescent="0.35">
      <c r="B5" s="12" t="s">
        <v>5</v>
      </c>
      <c r="C5" s="13" t="s">
        <v>6</v>
      </c>
      <c r="D5" s="14" t="s">
        <v>7</v>
      </c>
      <c r="E5" s="15" t="s">
        <v>5</v>
      </c>
      <c r="F5" s="13" t="s">
        <v>6</v>
      </c>
      <c r="G5" s="19" t="s">
        <v>7</v>
      </c>
      <c r="H5" s="12" t="s">
        <v>5</v>
      </c>
      <c r="I5" s="13" t="s">
        <v>6</v>
      </c>
      <c r="J5" s="14" t="s">
        <v>7</v>
      </c>
      <c r="K5" s="15" t="s">
        <v>5</v>
      </c>
      <c r="L5" s="13" t="s">
        <v>6</v>
      </c>
      <c r="M5" s="19" t="s">
        <v>7</v>
      </c>
      <c r="N5" s="12" t="s">
        <v>5</v>
      </c>
      <c r="O5" s="13" t="s">
        <v>6</v>
      </c>
      <c r="P5" s="14" t="s">
        <v>7</v>
      </c>
    </row>
    <row r="6" spans="2:16" ht="64" x14ac:dyDescent="0.2">
      <c r="B6" s="2" t="s">
        <v>8</v>
      </c>
      <c r="C6" s="3" t="s">
        <v>9</v>
      </c>
      <c r="D6" s="4" t="s">
        <v>10</v>
      </c>
      <c r="E6" s="16" t="s">
        <v>11</v>
      </c>
      <c r="F6" s="3" t="s">
        <v>12</v>
      </c>
      <c r="G6" s="20" t="s">
        <v>13</v>
      </c>
      <c r="H6" s="2" t="s">
        <v>14</v>
      </c>
      <c r="I6" s="3"/>
      <c r="J6" s="4" t="s">
        <v>15</v>
      </c>
      <c r="K6" s="16" t="s">
        <v>16</v>
      </c>
      <c r="L6" s="3" t="s">
        <v>17</v>
      </c>
      <c r="M6" s="20"/>
      <c r="N6" s="2" t="s">
        <v>22</v>
      </c>
      <c r="O6" s="3" t="s">
        <v>21</v>
      </c>
      <c r="P6" s="4"/>
    </row>
    <row r="7" spans="2:16" ht="32" x14ac:dyDescent="0.2">
      <c r="B7" s="5"/>
      <c r="C7" s="6"/>
      <c r="D7" s="7"/>
      <c r="E7" s="17"/>
      <c r="F7" s="6"/>
      <c r="G7" s="21"/>
      <c r="H7" s="5"/>
      <c r="I7" s="6"/>
      <c r="J7" s="7" t="s">
        <v>18</v>
      </c>
      <c r="K7" s="17"/>
      <c r="L7" s="6" t="s">
        <v>19</v>
      </c>
      <c r="M7" s="21"/>
      <c r="N7" s="5"/>
      <c r="O7" s="6"/>
      <c r="P7" s="7"/>
    </row>
    <row r="8" spans="2:16" ht="33" thickBot="1" x14ac:dyDescent="0.25">
      <c r="B8" s="8"/>
      <c r="C8" s="9"/>
      <c r="D8" s="10"/>
      <c r="E8" s="18"/>
      <c r="F8" s="9"/>
      <c r="G8" s="22"/>
      <c r="H8" s="8"/>
      <c r="I8" s="9"/>
      <c r="J8" s="10"/>
      <c r="K8" s="18"/>
      <c r="L8" s="9" t="s">
        <v>20</v>
      </c>
      <c r="M8" s="22"/>
      <c r="N8" s="8"/>
      <c r="O8" s="9"/>
      <c r="P8" s="10"/>
    </row>
    <row r="9" spans="2:16" ht="16" thickBot="1" x14ac:dyDescent="0.25"/>
    <row r="10" spans="2:16" ht="75" customHeight="1" thickBot="1" x14ac:dyDescent="0.3">
      <c r="B10" s="87" t="s">
        <v>24</v>
      </c>
      <c r="C10" s="88"/>
      <c r="D10" s="88"/>
      <c r="E10" s="88"/>
      <c r="F10" s="88"/>
      <c r="G10" s="88"/>
      <c r="H10" s="88"/>
      <c r="I10" s="88"/>
      <c r="J10" s="88"/>
      <c r="K10" s="88"/>
      <c r="L10" s="88"/>
      <c r="M10" s="88"/>
      <c r="N10" s="88"/>
      <c r="O10" s="88"/>
      <c r="P10" s="89"/>
    </row>
  </sheetData>
  <mergeCells count="7">
    <mergeCell ref="B2:P2"/>
    <mergeCell ref="B10:P10"/>
    <mergeCell ref="B4:D4"/>
    <mergeCell ref="E4:G4"/>
    <mergeCell ref="H4:J4"/>
    <mergeCell ref="K4:M4"/>
    <mergeCell ref="N4:P4"/>
  </mergeCells>
  <pageMargins left="0.7" right="0.7" top="0.75" bottom="0.75" header="0.3" footer="0.3"/>
  <headerFooter>
    <oddHeader>&amp;L&amp;"Aptos"&amp;12&amp;K00B294 Proprietary&amp;1#_x000D_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89D1-58CF-4BAD-87AB-500A4B0A3A46}">
  <dimension ref="B1:AB37"/>
  <sheetViews>
    <sheetView zoomScaleNormal="100" workbookViewId="0">
      <selection activeCell="D4" sqref="D4:D30"/>
    </sheetView>
  </sheetViews>
  <sheetFormatPr baseColWidth="10" defaultColWidth="8.83203125" defaultRowHeight="15" x14ac:dyDescent="0.2"/>
  <cols>
    <col min="1" max="1" width="1.6640625" customWidth="1"/>
    <col min="3" max="3" width="1.6640625" customWidth="1"/>
    <col min="4" max="4" width="30.33203125" bestFit="1" customWidth="1"/>
  </cols>
  <sheetData>
    <row r="1" spans="2:28" ht="6" customHeight="1" thickBot="1" x14ac:dyDescent="0.25"/>
    <row r="2" spans="2:28" ht="17" thickBot="1" x14ac:dyDescent="0.25">
      <c r="E2" s="107" t="s">
        <v>0</v>
      </c>
      <c r="F2" s="108"/>
      <c r="G2" s="109"/>
      <c r="H2" s="107" t="s">
        <v>1</v>
      </c>
      <c r="I2" s="108"/>
      <c r="J2" s="109"/>
      <c r="K2" s="107" t="s">
        <v>2</v>
      </c>
      <c r="L2" s="108"/>
      <c r="M2" s="109"/>
      <c r="N2" s="107" t="s">
        <v>3</v>
      </c>
      <c r="O2" s="108"/>
      <c r="P2" s="109"/>
      <c r="Q2" s="110" t="s">
        <v>4</v>
      </c>
      <c r="R2" s="108"/>
      <c r="S2" s="109"/>
      <c r="U2" s="111" t="s">
        <v>62</v>
      </c>
      <c r="V2" s="112"/>
      <c r="W2" s="112"/>
      <c r="X2" s="112"/>
      <c r="Y2" s="112"/>
      <c r="Z2" s="112"/>
      <c r="AA2" s="112"/>
      <c r="AB2" s="113"/>
    </row>
    <row r="3" spans="2:28" ht="17" thickBot="1" x14ac:dyDescent="0.25">
      <c r="E3" s="23" t="s">
        <v>5</v>
      </c>
      <c r="F3" s="24" t="s">
        <v>6</v>
      </c>
      <c r="G3" s="25" t="s">
        <v>7</v>
      </c>
      <c r="H3" s="23" t="s">
        <v>5</v>
      </c>
      <c r="I3" s="24" t="s">
        <v>6</v>
      </c>
      <c r="J3" s="25" t="s">
        <v>7</v>
      </c>
      <c r="K3" s="23" t="s">
        <v>5</v>
      </c>
      <c r="L3" s="24" t="s">
        <v>6</v>
      </c>
      <c r="M3" s="25" t="s">
        <v>7</v>
      </c>
      <c r="N3" s="23" t="s">
        <v>5</v>
      </c>
      <c r="O3" s="24" t="s">
        <v>6</v>
      </c>
      <c r="P3" s="25" t="s">
        <v>7</v>
      </c>
      <c r="Q3" s="26" t="s">
        <v>5</v>
      </c>
      <c r="R3" s="24" t="s">
        <v>6</v>
      </c>
      <c r="S3" s="25" t="s">
        <v>7</v>
      </c>
      <c r="U3" s="114"/>
      <c r="V3" s="83"/>
      <c r="W3" s="83"/>
      <c r="X3" s="83"/>
      <c r="Y3" s="83"/>
      <c r="Z3" s="83"/>
      <c r="AA3" s="83"/>
      <c r="AB3" s="115"/>
    </row>
    <row r="4" spans="2:28" x14ac:dyDescent="0.2">
      <c r="B4" s="95" t="s">
        <v>52</v>
      </c>
      <c r="C4" s="76"/>
      <c r="D4" s="27" t="s">
        <v>25</v>
      </c>
      <c r="E4" s="28">
        <v>0.1</v>
      </c>
      <c r="F4" s="29">
        <v>0.5</v>
      </c>
      <c r="G4" s="30">
        <v>0.5</v>
      </c>
      <c r="H4" s="28">
        <v>0.5</v>
      </c>
      <c r="I4" s="29">
        <v>0.3</v>
      </c>
      <c r="J4" s="30">
        <v>0</v>
      </c>
      <c r="K4" s="28">
        <v>0</v>
      </c>
      <c r="L4" s="29">
        <v>0</v>
      </c>
      <c r="M4" s="30">
        <v>0</v>
      </c>
      <c r="N4" s="28">
        <v>0</v>
      </c>
      <c r="O4" s="29">
        <v>0</v>
      </c>
      <c r="P4" s="30">
        <v>0</v>
      </c>
      <c r="Q4" s="32">
        <v>0</v>
      </c>
      <c r="R4" s="29">
        <v>0</v>
      </c>
      <c r="S4" s="30">
        <v>0</v>
      </c>
      <c r="U4" s="114"/>
      <c r="V4" s="83"/>
      <c r="W4" s="83"/>
      <c r="X4" s="83"/>
      <c r="Y4" s="83"/>
      <c r="Z4" s="83"/>
      <c r="AA4" s="83"/>
      <c r="AB4" s="115"/>
    </row>
    <row r="5" spans="2:28" x14ac:dyDescent="0.2">
      <c r="B5" s="96"/>
      <c r="C5" s="76"/>
      <c r="D5" s="33" t="s">
        <v>26</v>
      </c>
      <c r="E5" s="34">
        <v>0.2</v>
      </c>
      <c r="F5" s="35">
        <v>0.4</v>
      </c>
      <c r="G5" s="36">
        <v>0.4</v>
      </c>
      <c r="H5" s="34">
        <v>0.2</v>
      </c>
      <c r="I5" s="35">
        <v>0.2</v>
      </c>
      <c r="J5" s="36">
        <v>0</v>
      </c>
      <c r="K5" s="34">
        <v>0</v>
      </c>
      <c r="L5" s="35">
        <v>0</v>
      </c>
      <c r="M5" s="36">
        <v>0</v>
      </c>
      <c r="N5" s="34">
        <v>0</v>
      </c>
      <c r="O5" s="35">
        <v>0</v>
      </c>
      <c r="P5" s="36">
        <v>0</v>
      </c>
      <c r="Q5" s="39">
        <v>0</v>
      </c>
      <c r="R5" s="35">
        <v>0</v>
      </c>
      <c r="S5" s="36">
        <v>0</v>
      </c>
      <c r="U5" s="114"/>
      <c r="V5" s="83"/>
      <c r="W5" s="83"/>
      <c r="X5" s="83"/>
      <c r="Y5" s="83"/>
      <c r="Z5" s="83"/>
      <c r="AA5" s="83"/>
      <c r="AB5" s="115"/>
    </row>
    <row r="6" spans="2:28" x14ac:dyDescent="0.2">
      <c r="B6" s="96"/>
      <c r="C6" s="76"/>
      <c r="D6" s="33" t="s">
        <v>27</v>
      </c>
      <c r="E6" s="34">
        <v>0.5</v>
      </c>
      <c r="F6" s="35">
        <v>0.8</v>
      </c>
      <c r="G6" s="36">
        <v>1</v>
      </c>
      <c r="H6" s="34">
        <v>0.6</v>
      </c>
      <c r="I6" s="35">
        <v>0.2</v>
      </c>
      <c r="J6" s="36">
        <v>0</v>
      </c>
      <c r="K6" s="34">
        <v>0</v>
      </c>
      <c r="L6" s="35">
        <v>0</v>
      </c>
      <c r="M6" s="36">
        <v>0</v>
      </c>
      <c r="N6" s="34">
        <v>0</v>
      </c>
      <c r="O6" s="35">
        <v>0</v>
      </c>
      <c r="P6" s="36">
        <v>0</v>
      </c>
      <c r="Q6" s="39">
        <v>0</v>
      </c>
      <c r="R6" s="35">
        <v>0</v>
      </c>
      <c r="S6" s="36">
        <v>0</v>
      </c>
      <c r="U6" s="114"/>
      <c r="V6" s="83"/>
      <c r="W6" s="83"/>
      <c r="X6" s="83"/>
      <c r="Y6" s="83"/>
      <c r="Z6" s="83"/>
      <c r="AA6" s="83"/>
      <c r="AB6" s="115"/>
    </row>
    <row r="7" spans="2:28" x14ac:dyDescent="0.2">
      <c r="B7" s="96"/>
      <c r="C7" s="76"/>
      <c r="D7" s="33" t="s">
        <v>28</v>
      </c>
      <c r="E7" s="34">
        <v>0.5</v>
      </c>
      <c r="F7" s="35">
        <v>0.8</v>
      </c>
      <c r="G7" s="36">
        <v>1</v>
      </c>
      <c r="H7" s="34">
        <v>0.6</v>
      </c>
      <c r="I7" s="35">
        <v>0.2</v>
      </c>
      <c r="J7" s="36">
        <v>0</v>
      </c>
      <c r="K7" s="34">
        <v>0</v>
      </c>
      <c r="L7" s="35">
        <v>0</v>
      </c>
      <c r="M7" s="36">
        <v>0</v>
      </c>
      <c r="N7" s="34">
        <v>0</v>
      </c>
      <c r="O7" s="35">
        <v>0</v>
      </c>
      <c r="P7" s="36">
        <v>0</v>
      </c>
      <c r="Q7" s="39">
        <v>0</v>
      </c>
      <c r="R7" s="35">
        <v>0</v>
      </c>
      <c r="S7" s="36">
        <v>0</v>
      </c>
      <c r="U7" s="114"/>
      <c r="V7" s="83"/>
      <c r="W7" s="83"/>
      <c r="X7" s="83"/>
      <c r="Y7" s="83"/>
      <c r="Z7" s="83"/>
      <c r="AA7" s="83"/>
      <c r="AB7" s="115"/>
    </row>
    <row r="8" spans="2:28" x14ac:dyDescent="0.2">
      <c r="B8" s="96"/>
      <c r="C8" s="76"/>
      <c r="D8" s="33" t="s">
        <v>29</v>
      </c>
      <c r="E8" s="34">
        <v>0.2</v>
      </c>
      <c r="F8" s="35">
        <v>0.2</v>
      </c>
      <c r="G8" s="36">
        <v>0.2</v>
      </c>
      <c r="H8" s="34">
        <v>0.2</v>
      </c>
      <c r="I8" s="35">
        <v>0.2</v>
      </c>
      <c r="J8" s="36">
        <v>0</v>
      </c>
      <c r="K8" s="34">
        <v>0</v>
      </c>
      <c r="L8" s="35">
        <v>0</v>
      </c>
      <c r="M8" s="36">
        <v>0</v>
      </c>
      <c r="N8" s="34">
        <v>0</v>
      </c>
      <c r="O8" s="35">
        <v>0</v>
      </c>
      <c r="P8" s="36">
        <v>0</v>
      </c>
      <c r="Q8" s="39">
        <v>0</v>
      </c>
      <c r="R8" s="35">
        <v>0</v>
      </c>
      <c r="S8" s="36">
        <v>0</v>
      </c>
      <c r="U8" s="114"/>
      <c r="V8" s="83"/>
      <c r="W8" s="83"/>
      <c r="X8" s="83"/>
      <c r="Y8" s="83"/>
      <c r="Z8" s="83"/>
      <c r="AA8" s="83"/>
      <c r="AB8" s="115"/>
    </row>
    <row r="9" spans="2:28" ht="16" thickBot="1" x14ac:dyDescent="0.25">
      <c r="B9" s="97"/>
      <c r="C9" s="76"/>
      <c r="D9" s="33" t="s">
        <v>30</v>
      </c>
      <c r="E9" s="34">
        <v>0</v>
      </c>
      <c r="F9" s="35">
        <v>0</v>
      </c>
      <c r="G9" s="36">
        <v>0</v>
      </c>
      <c r="H9" s="34">
        <v>0</v>
      </c>
      <c r="I9" s="35">
        <v>0</v>
      </c>
      <c r="J9" s="36">
        <v>0</v>
      </c>
      <c r="K9" s="34">
        <v>0</v>
      </c>
      <c r="L9" s="35">
        <v>0</v>
      </c>
      <c r="M9" s="36">
        <v>0</v>
      </c>
      <c r="N9" s="34">
        <v>0</v>
      </c>
      <c r="O9" s="35">
        <v>0</v>
      </c>
      <c r="P9" s="36">
        <v>0</v>
      </c>
      <c r="Q9" s="39">
        <v>0</v>
      </c>
      <c r="R9" s="35">
        <v>0</v>
      </c>
      <c r="S9" s="36">
        <v>0</v>
      </c>
      <c r="U9" s="114"/>
      <c r="V9" s="83"/>
      <c r="W9" s="83"/>
      <c r="X9" s="83"/>
      <c r="Y9" s="83"/>
      <c r="Z9" s="83"/>
      <c r="AA9" s="83"/>
      <c r="AB9" s="115"/>
    </row>
    <row r="10" spans="2:28" x14ac:dyDescent="0.2">
      <c r="B10" s="98" t="s">
        <v>53</v>
      </c>
      <c r="C10" s="76"/>
      <c r="D10" s="40" t="s">
        <v>31</v>
      </c>
      <c r="E10" s="41">
        <v>0</v>
      </c>
      <c r="F10" s="42">
        <v>0</v>
      </c>
      <c r="G10" s="43">
        <v>0.1</v>
      </c>
      <c r="H10" s="41">
        <v>0.4</v>
      </c>
      <c r="I10" s="42">
        <v>1</v>
      </c>
      <c r="J10" s="43">
        <v>1</v>
      </c>
      <c r="K10" s="41">
        <v>1</v>
      </c>
      <c r="L10" s="42">
        <v>1</v>
      </c>
      <c r="M10" s="43">
        <v>1</v>
      </c>
      <c r="N10" s="41">
        <v>1</v>
      </c>
      <c r="O10" s="42">
        <v>1</v>
      </c>
      <c r="P10" s="43">
        <v>0.5</v>
      </c>
      <c r="Q10" s="46">
        <v>0.1</v>
      </c>
      <c r="R10" s="42">
        <v>0</v>
      </c>
      <c r="S10" s="43">
        <v>0</v>
      </c>
      <c r="U10" s="114"/>
      <c r="V10" s="83"/>
      <c r="W10" s="83"/>
      <c r="X10" s="83"/>
      <c r="Y10" s="83"/>
      <c r="Z10" s="83"/>
      <c r="AA10" s="83"/>
      <c r="AB10" s="115"/>
    </row>
    <row r="11" spans="2:28" x14ac:dyDescent="0.2">
      <c r="B11" s="99"/>
      <c r="C11" s="76"/>
      <c r="D11" s="40" t="s">
        <v>32</v>
      </c>
      <c r="E11" s="41">
        <v>0</v>
      </c>
      <c r="F11" s="42">
        <v>0</v>
      </c>
      <c r="G11" s="43">
        <v>0</v>
      </c>
      <c r="H11" s="41">
        <v>0.4</v>
      </c>
      <c r="I11" s="42">
        <v>1</v>
      </c>
      <c r="J11" s="43">
        <v>1</v>
      </c>
      <c r="K11" s="41">
        <v>1</v>
      </c>
      <c r="L11" s="42">
        <v>0.8</v>
      </c>
      <c r="M11" s="43">
        <v>0.6</v>
      </c>
      <c r="N11" s="41">
        <v>0.4</v>
      </c>
      <c r="O11" s="42">
        <v>0.2</v>
      </c>
      <c r="P11" s="43">
        <v>0</v>
      </c>
      <c r="Q11" s="46">
        <v>0</v>
      </c>
      <c r="R11" s="42">
        <v>0</v>
      </c>
      <c r="S11" s="43">
        <v>0</v>
      </c>
      <c r="U11" s="114"/>
      <c r="V11" s="83"/>
      <c r="W11" s="83"/>
      <c r="X11" s="83"/>
      <c r="Y11" s="83"/>
      <c r="Z11" s="83"/>
      <c r="AA11" s="83"/>
      <c r="AB11" s="115"/>
    </row>
    <row r="12" spans="2:28" x14ac:dyDescent="0.2">
      <c r="B12" s="99"/>
      <c r="C12" s="76"/>
      <c r="D12" s="40" t="s">
        <v>33</v>
      </c>
      <c r="E12" s="41">
        <v>0</v>
      </c>
      <c r="F12" s="42">
        <v>0.1</v>
      </c>
      <c r="G12" s="43">
        <v>0.2</v>
      </c>
      <c r="H12" s="41">
        <v>0.4</v>
      </c>
      <c r="I12" s="42">
        <v>0.6</v>
      </c>
      <c r="J12" s="43">
        <v>0.6</v>
      </c>
      <c r="K12" s="41">
        <v>0.4</v>
      </c>
      <c r="L12" s="42">
        <v>0.4</v>
      </c>
      <c r="M12" s="43">
        <v>0.2</v>
      </c>
      <c r="N12" s="41">
        <v>0.2</v>
      </c>
      <c r="O12" s="42">
        <v>0.1</v>
      </c>
      <c r="P12" s="43">
        <v>0</v>
      </c>
      <c r="Q12" s="46">
        <v>0</v>
      </c>
      <c r="R12" s="42">
        <v>0</v>
      </c>
      <c r="S12" s="43">
        <v>0</v>
      </c>
      <c r="U12" s="114"/>
      <c r="V12" s="83"/>
      <c r="W12" s="83"/>
      <c r="X12" s="83"/>
      <c r="Y12" s="83"/>
      <c r="Z12" s="83"/>
      <c r="AA12" s="83"/>
      <c r="AB12" s="115"/>
    </row>
    <row r="13" spans="2:28" x14ac:dyDescent="0.2">
      <c r="B13" s="99"/>
      <c r="C13" s="76"/>
      <c r="D13" s="40" t="s">
        <v>34</v>
      </c>
      <c r="E13" s="41">
        <v>0</v>
      </c>
      <c r="F13" s="42">
        <v>0.1</v>
      </c>
      <c r="G13" s="43">
        <v>0.2</v>
      </c>
      <c r="H13" s="41">
        <v>0.4</v>
      </c>
      <c r="I13" s="42">
        <v>0.4</v>
      </c>
      <c r="J13" s="43">
        <v>0.4</v>
      </c>
      <c r="K13" s="41">
        <v>0.2</v>
      </c>
      <c r="L13" s="42">
        <v>0.2</v>
      </c>
      <c r="M13" s="43">
        <v>0.1</v>
      </c>
      <c r="N13" s="41">
        <v>0</v>
      </c>
      <c r="O13" s="42">
        <v>0</v>
      </c>
      <c r="P13" s="43">
        <v>0</v>
      </c>
      <c r="Q13" s="46">
        <v>0</v>
      </c>
      <c r="R13" s="42">
        <v>0</v>
      </c>
      <c r="S13" s="43">
        <v>0</v>
      </c>
      <c r="U13" s="114"/>
      <c r="V13" s="83"/>
      <c r="W13" s="83"/>
      <c r="X13" s="83"/>
      <c r="Y13" s="83"/>
      <c r="Z13" s="83"/>
      <c r="AA13" s="83"/>
      <c r="AB13" s="115"/>
    </row>
    <row r="14" spans="2:28" x14ac:dyDescent="0.2">
      <c r="B14" s="99"/>
      <c r="C14" s="76"/>
      <c r="D14" s="40" t="s">
        <v>35</v>
      </c>
      <c r="E14" s="41">
        <v>0</v>
      </c>
      <c r="F14" s="42">
        <v>0</v>
      </c>
      <c r="G14" s="43">
        <v>0</v>
      </c>
      <c r="H14" s="41">
        <v>0.4</v>
      </c>
      <c r="I14" s="42">
        <v>1.2</v>
      </c>
      <c r="J14" s="43">
        <v>1.8</v>
      </c>
      <c r="K14" s="41">
        <v>2.4</v>
      </c>
      <c r="L14" s="42">
        <v>2.4</v>
      </c>
      <c r="M14" s="43">
        <v>2</v>
      </c>
      <c r="N14" s="41">
        <v>1.6</v>
      </c>
      <c r="O14" s="42">
        <v>1.2</v>
      </c>
      <c r="P14" s="43">
        <v>0.8</v>
      </c>
      <c r="Q14" s="46">
        <v>0.4</v>
      </c>
      <c r="R14" s="42">
        <v>0</v>
      </c>
      <c r="S14" s="43">
        <v>0</v>
      </c>
      <c r="U14" s="114"/>
      <c r="V14" s="83"/>
      <c r="W14" s="83"/>
      <c r="X14" s="83"/>
      <c r="Y14" s="83"/>
      <c r="Z14" s="83"/>
      <c r="AA14" s="83"/>
      <c r="AB14" s="115"/>
    </row>
    <row r="15" spans="2:28" x14ac:dyDescent="0.2">
      <c r="B15" s="99"/>
      <c r="C15" s="76"/>
      <c r="D15" s="40" t="s">
        <v>36</v>
      </c>
      <c r="E15" s="41">
        <v>0</v>
      </c>
      <c r="F15" s="42">
        <v>0</v>
      </c>
      <c r="G15" s="43">
        <v>0</v>
      </c>
      <c r="H15" s="41">
        <v>0.1</v>
      </c>
      <c r="I15" s="42">
        <v>0.1</v>
      </c>
      <c r="J15" s="43">
        <v>0.1</v>
      </c>
      <c r="K15" s="41">
        <v>0.1</v>
      </c>
      <c r="L15" s="42">
        <v>0.1</v>
      </c>
      <c r="M15" s="43">
        <v>0.1</v>
      </c>
      <c r="N15" s="41">
        <v>0.1</v>
      </c>
      <c r="O15" s="42">
        <v>0</v>
      </c>
      <c r="P15" s="43">
        <v>0</v>
      </c>
      <c r="Q15" s="46">
        <v>0</v>
      </c>
      <c r="R15" s="42">
        <v>0</v>
      </c>
      <c r="S15" s="43">
        <v>0</v>
      </c>
      <c r="U15" s="114"/>
      <c r="V15" s="83"/>
      <c r="W15" s="83"/>
      <c r="X15" s="83"/>
      <c r="Y15" s="83"/>
      <c r="Z15" s="83"/>
      <c r="AA15" s="83"/>
      <c r="AB15" s="115"/>
    </row>
    <row r="16" spans="2:28" x14ac:dyDescent="0.2">
      <c r="B16" s="99"/>
      <c r="C16" s="76"/>
      <c r="D16" s="40" t="s">
        <v>37</v>
      </c>
      <c r="E16" s="41">
        <v>0</v>
      </c>
      <c r="F16" s="42">
        <v>0.2</v>
      </c>
      <c r="G16" s="43">
        <v>0.8</v>
      </c>
      <c r="H16" s="41">
        <v>1.2</v>
      </c>
      <c r="I16" s="42">
        <v>2</v>
      </c>
      <c r="J16" s="43">
        <v>2</v>
      </c>
      <c r="K16" s="41">
        <v>1.6</v>
      </c>
      <c r="L16" s="42">
        <v>1.2</v>
      </c>
      <c r="M16" s="43">
        <v>0.8</v>
      </c>
      <c r="N16" s="41">
        <v>0.8</v>
      </c>
      <c r="O16" s="42">
        <v>0.4</v>
      </c>
      <c r="P16" s="43">
        <v>0.2</v>
      </c>
      <c r="Q16" s="46">
        <v>0</v>
      </c>
      <c r="R16" s="42">
        <v>0</v>
      </c>
      <c r="S16" s="43">
        <v>0</v>
      </c>
      <c r="U16" s="114"/>
      <c r="V16" s="83"/>
      <c r="W16" s="83"/>
      <c r="X16" s="83"/>
      <c r="Y16" s="83"/>
      <c r="Z16" s="83"/>
      <c r="AA16" s="83"/>
      <c r="AB16" s="115"/>
    </row>
    <row r="17" spans="2:28" x14ac:dyDescent="0.2">
      <c r="B17" s="99"/>
      <c r="C17" s="76"/>
      <c r="D17" s="40" t="s">
        <v>38</v>
      </c>
      <c r="E17" s="41">
        <v>0</v>
      </c>
      <c r="F17" s="42">
        <v>0</v>
      </c>
      <c r="G17" s="43">
        <v>0.4</v>
      </c>
      <c r="H17" s="41">
        <v>1</v>
      </c>
      <c r="I17" s="42">
        <v>1</v>
      </c>
      <c r="J17" s="43">
        <v>1</v>
      </c>
      <c r="K17" s="41">
        <v>1</v>
      </c>
      <c r="L17" s="42">
        <v>1</v>
      </c>
      <c r="M17" s="43">
        <v>1</v>
      </c>
      <c r="N17" s="41">
        <v>1</v>
      </c>
      <c r="O17" s="42">
        <v>0.6</v>
      </c>
      <c r="P17" s="43">
        <v>0.4</v>
      </c>
      <c r="Q17" s="46">
        <v>0</v>
      </c>
      <c r="R17" s="42">
        <v>0</v>
      </c>
      <c r="S17" s="43">
        <v>0</v>
      </c>
      <c r="U17" s="114"/>
      <c r="V17" s="83"/>
      <c r="W17" s="83"/>
      <c r="X17" s="83"/>
      <c r="Y17" s="83"/>
      <c r="Z17" s="83"/>
      <c r="AA17" s="83"/>
      <c r="AB17" s="115"/>
    </row>
    <row r="18" spans="2:28" x14ac:dyDescent="0.2">
      <c r="B18" s="99"/>
      <c r="C18" s="76"/>
      <c r="D18" s="40" t="s">
        <v>39</v>
      </c>
      <c r="E18" s="41">
        <v>0</v>
      </c>
      <c r="F18" s="42">
        <v>0.2</v>
      </c>
      <c r="G18" s="43">
        <v>0.6</v>
      </c>
      <c r="H18" s="41">
        <v>1.8</v>
      </c>
      <c r="I18" s="42">
        <v>2.4</v>
      </c>
      <c r="J18" s="43">
        <v>3</v>
      </c>
      <c r="K18" s="41">
        <v>3</v>
      </c>
      <c r="L18" s="42">
        <v>3</v>
      </c>
      <c r="M18" s="43">
        <v>2.4</v>
      </c>
      <c r="N18" s="41">
        <v>1.8</v>
      </c>
      <c r="O18" s="42">
        <v>1.4</v>
      </c>
      <c r="P18" s="43">
        <v>0.6</v>
      </c>
      <c r="Q18" s="46">
        <v>0</v>
      </c>
      <c r="R18" s="42">
        <v>0</v>
      </c>
      <c r="S18" s="43">
        <v>0</v>
      </c>
      <c r="U18" s="114"/>
      <c r="V18" s="83"/>
      <c r="W18" s="83"/>
      <c r="X18" s="83"/>
      <c r="Y18" s="83"/>
      <c r="Z18" s="83"/>
      <c r="AA18" s="83"/>
      <c r="AB18" s="115"/>
    </row>
    <row r="19" spans="2:28" x14ac:dyDescent="0.2">
      <c r="B19" s="99"/>
      <c r="C19" s="76"/>
      <c r="D19" s="40" t="s">
        <v>40</v>
      </c>
      <c r="E19" s="41">
        <v>0</v>
      </c>
      <c r="F19" s="42">
        <v>0</v>
      </c>
      <c r="G19" s="43">
        <v>0</v>
      </c>
      <c r="H19" s="41">
        <v>0.4</v>
      </c>
      <c r="I19" s="42">
        <v>0.8</v>
      </c>
      <c r="J19" s="43">
        <v>0.8</v>
      </c>
      <c r="K19" s="41">
        <v>0.8</v>
      </c>
      <c r="L19" s="42">
        <v>0.6</v>
      </c>
      <c r="M19" s="43">
        <v>0.6</v>
      </c>
      <c r="N19" s="41">
        <v>0.4</v>
      </c>
      <c r="O19" s="42">
        <v>0.2</v>
      </c>
      <c r="P19" s="43">
        <v>0.1</v>
      </c>
      <c r="Q19" s="46">
        <v>0</v>
      </c>
      <c r="R19" s="42">
        <v>0</v>
      </c>
      <c r="S19" s="43">
        <v>0</v>
      </c>
      <c r="U19" s="114"/>
      <c r="V19" s="83"/>
      <c r="W19" s="83"/>
      <c r="X19" s="83"/>
      <c r="Y19" s="83"/>
      <c r="Z19" s="83"/>
      <c r="AA19" s="83"/>
      <c r="AB19" s="115"/>
    </row>
    <row r="20" spans="2:28" ht="16" thickBot="1" x14ac:dyDescent="0.25">
      <c r="B20" s="100"/>
      <c r="C20" s="76"/>
      <c r="D20" s="40" t="s">
        <v>41</v>
      </c>
      <c r="E20" s="41">
        <v>0</v>
      </c>
      <c r="F20" s="42">
        <v>0</v>
      </c>
      <c r="G20" s="43">
        <v>0</v>
      </c>
      <c r="H20" s="41">
        <v>0</v>
      </c>
      <c r="I20" s="42">
        <v>0</v>
      </c>
      <c r="J20" s="43">
        <v>0</v>
      </c>
      <c r="K20" s="41">
        <v>0</v>
      </c>
      <c r="L20" s="42">
        <v>0</v>
      </c>
      <c r="M20" s="43">
        <v>0</v>
      </c>
      <c r="N20" s="41">
        <v>0</v>
      </c>
      <c r="O20" s="42">
        <v>0</v>
      </c>
      <c r="P20" s="43">
        <v>0</v>
      </c>
      <c r="Q20" s="46">
        <v>0</v>
      </c>
      <c r="R20" s="42">
        <v>0</v>
      </c>
      <c r="S20" s="43">
        <v>0</v>
      </c>
      <c r="U20" s="116"/>
      <c r="V20" s="117"/>
      <c r="W20" s="117"/>
      <c r="X20" s="117"/>
      <c r="Y20" s="117"/>
      <c r="Z20" s="117"/>
      <c r="AA20" s="117"/>
      <c r="AB20" s="118"/>
    </row>
    <row r="21" spans="2:28" x14ac:dyDescent="0.2">
      <c r="B21" s="101" t="s">
        <v>54</v>
      </c>
      <c r="C21" s="76"/>
      <c r="D21" s="47" t="s">
        <v>42</v>
      </c>
      <c r="E21" s="48">
        <v>0.4</v>
      </c>
      <c r="F21" s="49">
        <v>0.4</v>
      </c>
      <c r="G21" s="50">
        <v>0.4</v>
      </c>
      <c r="H21" s="48">
        <v>0.5</v>
      </c>
      <c r="I21" s="49">
        <v>0.5</v>
      </c>
      <c r="J21" s="50">
        <v>0.5</v>
      </c>
      <c r="K21" s="48">
        <v>0.5</v>
      </c>
      <c r="L21" s="49">
        <v>0.5</v>
      </c>
      <c r="M21" s="50">
        <v>0.5</v>
      </c>
      <c r="N21" s="48">
        <v>0.1</v>
      </c>
      <c r="O21" s="49">
        <v>0.1</v>
      </c>
      <c r="P21" s="50">
        <v>0.1</v>
      </c>
      <c r="Q21" s="53">
        <v>0.1</v>
      </c>
      <c r="R21" s="49">
        <v>0.1</v>
      </c>
      <c r="S21" s="50">
        <v>0.1</v>
      </c>
    </row>
    <row r="22" spans="2:28" x14ac:dyDescent="0.2">
      <c r="B22" s="102"/>
      <c r="C22" s="76"/>
      <c r="D22" s="47" t="s">
        <v>43</v>
      </c>
      <c r="E22" s="48">
        <v>0</v>
      </c>
      <c r="F22" s="49">
        <v>0</v>
      </c>
      <c r="G22" s="50">
        <v>0.2</v>
      </c>
      <c r="H22" s="48">
        <v>1.1000000000000001</v>
      </c>
      <c r="I22" s="49">
        <v>1.1000000000000001</v>
      </c>
      <c r="J22" s="50">
        <v>1.1000000000000001</v>
      </c>
      <c r="K22" s="48">
        <v>2</v>
      </c>
      <c r="L22" s="49">
        <v>2</v>
      </c>
      <c r="M22" s="50">
        <v>2</v>
      </c>
      <c r="N22" s="48">
        <v>1.5</v>
      </c>
      <c r="O22" s="49">
        <v>1.5</v>
      </c>
      <c r="P22" s="50">
        <v>1.5</v>
      </c>
      <c r="Q22" s="53">
        <v>0.1</v>
      </c>
      <c r="R22" s="49">
        <v>0.1</v>
      </c>
      <c r="S22" s="50">
        <v>0.1</v>
      </c>
    </row>
    <row r="23" spans="2:28" x14ac:dyDescent="0.2">
      <c r="B23" s="102"/>
      <c r="C23" s="76"/>
      <c r="D23" s="47" t="s">
        <v>44</v>
      </c>
      <c r="E23" s="48">
        <v>0.2</v>
      </c>
      <c r="F23" s="49">
        <v>0.2</v>
      </c>
      <c r="G23" s="50">
        <v>0.2</v>
      </c>
      <c r="H23" s="48">
        <v>0.6</v>
      </c>
      <c r="I23" s="49">
        <v>0.6</v>
      </c>
      <c r="J23" s="50">
        <v>0.8</v>
      </c>
      <c r="K23" s="48">
        <v>0.8</v>
      </c>
      <c r="L23" s="49">
        <v>0.8</v>
      </c>
      <c r="M23" s="50">
        <v>0.8</v>
      </c>
      <c r="N23" s="48">
        <v>0.6</v>
      </c>
      <c r="O23" s="49">
        <v>0.6</v>
      </c>
      <c r="P23" s="50">
        <v>0.3</v>
      </c>
      <c r="Q23" s="53">
        <v>0.3</v>
      </c>
      <c r="R23" s="49">
        <v>0.1</v>
      </c>
      <c r="S23" s="50">
        <v>0.1</v>
      </c>
    </row>
    <row r="24" spans="2:28" x14ac:dyDescent="0.2">
      <c r="B24" s="102"/>
      <c r="C24" s="76"/>
      <c r="D24" s="47" t="s">
        <v>45</v>
      </c>
      <c r="E24" s="48">
        <v>0</v>
      </c>
      <c r="F24" s="49">
        <v>0</v>
      </c>
      <c r="G24" s="50">
        <v>0.2</v>
      </c>
      <c r="H24" s="48">
        <v>0.4</v>
      </c>
      <c r="I24" s="49">
        <v>0.4</v>
      </c>
      <c r="J24" s="50">
        <v>0.4</v>
      </c>
      <c r="K24" s="48">
        <v>1</v>
      </c>
      <c r="L24" s="49">
        <v>1</v>
      </c>
      <c r="M24" s="50">
        <v>1</v>
      </c>
      <c r="N24" s="48">
        <v>0.5</v>
      </c>
      <c r="O24" s="49">
        <v>0.5</v>
      </c>
      <c r="P24" s="50">
        <v>0.5</v>
      </c>
      <c r="Q24" s="53">
        <v>0.3</v>
      </c>
      <c r="R24" s="49">
        <v>0.1</v>
      </c>
      <c r="S24" s="50">
        <v>0.1</v>
      </c>
    </row>
    <row r="25" spans="2:28" ht="16" thickBot="1" x14ac:dyDescent="0.25">
      <c r="B25" s="103"/>
      <c r="C25" s="76"/>
      <c r="D25" s="47" t="s">
        <v>46</v>
      </c>
      <c r="E25" s="48">
        <v>0</v>
      </c>
      <c r="F25" s="49">
        <v>0</v>
      </c>
      <c r="G25" s="50">
        <v>0</v>
      </c>
      <c r="H25" s="48">
        <v>0</v>
      </c>
      <c r="I25" s="49">
        <v>0</v>
      </c>
      <c r="J25" s="50">
        <v>0</v>
      </c>
      <c r="K25" s="48">
        <v>0</v>
      </c>
      <c r="L25" s="49">
        <v>0</v>
      </c>
      <c r="M25" s="50">
        <v>0</v>
      </c>
      <c r="N25" s="48">
        <v>0</v>
      </c>
      <c r="O25" s="49">
        <v>0</v>
      </c>
      <c r="P25" s="50">
        <v>0</v>
      </c>
      <c r="Q25" s="53">
        <v>0</v>
      </c>
      <c r="R25" s="49">
        <v>0</v>
      </c>
      <c r="S25" s="50">
        <v>0</v>
      </c>
    </row>
    <row r="26" spans="2:28" x14ac:dyDescent="0.2">
      <c r="B26" s="104" t="s">
        <v>55</v>
      </c>
      <c r="C26" s="76"/>
      <c r="D26" s="54" t="s">
        <v>47</v>
      </c>
      <c r="E26" s="55">
        <v>0</v>
      </c>
      <c r="F26" s="56">
        <v>0</v>
      </c>
      <c r="G26" s="57">
        <v>0</v>
      </c>
      <c r="H26" s="55">
        <v>0</v>
      </c>
      <c r="I26" s="56">
        <v>0.125</v>
      </c>
      <c r="J26" s="57">
        <v>0.25</v>
      </c>
      <c r="K26" s="55">
        <v>0.5</v>
      </c>
      <c r="L26" s="56">
        <v>0.5</v>
      </c>
      <c r="M26" s="57">
        <v>0.75</v>
      </c>
      <c r="N26" s="55">
        <v>1</v>
      </c>
      <c r="O26" s="56">
        <v>1.25</v>
      </c>
      <c r="P26" s="57">
        <v>1.875</v>
      </c>
      <c r="Q26" s="60">
        <v>1.875</v>
      </c>
      <c r="R26" s="56">
        <v>1.875</v>
      </c>
      <c r="S26" s="57">
        <v>1.875</v>
      </c>
    </row>
    <row r="27" spans="2:28" x14ac:dyDescent="0.2">
      <c r="B27" s="105"/>
      <c r="C27" s="76"/>
      <c r="D27" s="54" t="s">
        <v>48</v>
      </c>
      <c r="E27" s="55">
        <v>0</v>
      </c>
      <c r="F27" s="56">
        <v>0</v>
      </c>
      <c r="G27" s="57">
        <v>0</v>
      </c>
      <c r="H27" s="55">
        <v>0</v>
      </c>
      <c r="I27" s="56">
        <v>0.125</v>
      </c>
      <c r="J27" s="57">
        <v>0.25</v>
      </c>
      <c r="K27" s="55">
        <v>0.5</v>
      </c>
      <c r="L27" s="56">
        <v>0.75</v>
      </c>
      <c r="M27" s="57">
        <v>1</v>
      </c>
      <c r="N27" s="55">
        <v>1.25</v>
      </c>
      <c r="O27" s="56">
        <v>1.25</v>
      </c>
      <c r="P27" s="57">
        <v>1.25</v>
      </c>
      <c r="Q27" s="60">
        <v>0.75</v>
      </c>
      <c r="R27" s="56">
        <v>0.25</v>
      </c>
      <c r="S27" s="57">
        <v>0</v>
      </c>
    </row>
    <row r="28" spans="2:28" x14ac:dyDescent="0.2">
      <c r="B28" s="105"/>
      <c r="C28" s="76"/>
      <c r="D28" s="54" t="s">
        <v>49</v>
      </c>
      <c r="E28" s="55">
        <v>0</v>
      </c>
      <c r="F28" s="56">
        <v>0</v>
      </c>
      <c r="G28" s="57">
        <v>0</v>
      </c>
      <c r="H28" s="55">
        <v>0</v>
      </c>
      <c r="I28" s="56">
        <v>0</v>
      </c>
      <c r="J28" s="57">
        <v>0</v>
      </c>
      <c r="K28" s="55">
        <v>0</v>
      </c>
      <c r="L28" s="56">
        <v>1.25</v>
      </c>
      <c r="M28" s="57">
        <v>1.25</v>
      </c>
      <c r="N28" s="55">
        <v>1.875</v>
      </c>
      <c r="O28" s="56">
        <v>3.75</v>
      </c>
      <c r="P28" s="57">
        <v>4.375</v>
      </c>
      <c r="Q28" s="60">
        <v>6</v>
      </c>
      <c r="R28" s="56">
        <v>6.625</v>
      </c>
      <c r="S28" s="57">
        <v>6.875</v>
      </c>
    </row>
    <row r="29" spans="2:28" x14ac:dyDescent="0.2">
      <c r="B29" s="105"/>
      <c r="C29" s="76"/>
      <c r="D29" s="54" t="s">
        <v>50</v>
      </c>
      <c r="E29" s="55">
        <v>0</v>
      </c>
      <c r="F29" s="56">
        <v>0</v>
      </c>
      <c r="G29" s="57">
        <v>0</v>
      </c>
      <c r="H29" s="55">
        <v>0</v>
      </c>
      <c r="I29" s="56">
        <v>0</v>
      </c>
      <c r="J29" s="57">
        <v>0</v>
      </c>
      <c r="K29" s="55">
        <v>0</v>
      </c>
      <c r="L29" s="56">
        <v>0</v>
      </c>
      <c r="M29" s="57">
        <v>0</v>
      </c>
      <c r="N29" s="55">
        <v>0</v>
      </c>
      <c r="O29" s="56">
        <v>0</v>
      </c>
      <c r="P29" s="57">
        <v>0</v>
      </c>
      <c r="Q29" s="60">
        <v>0</v>
      </c>
      <c r="R29" s="56">
        <v>0</v>
      </c>
      <c r="S29" s="57">
        <v>0</v>
      </c>
    </row>
    <row r="30" spans="2:28" ht="16" thickBot="1" x14ac:dyDescent="0.25">
      <c r="B30" s="106"/>
      <c r="C30" s="76"/>
      <c r="D30" s="61" t="s">
        <v>51</v>
      </c>
      <c r="E30" s="62">
        <v>0</v>
      </c>
      <c r="F30" s="63">
        <v>0</v>
      </c>
      <c r="G30" s="64">
        <v>0</v>
      </c>
      <c r="H30" s="62">
        <v>0</v>
      </c>
      <c r="I30" s="63">
        <v>0</v>
      </c>
      <c r="J30" s="64">
        <v>0</v>
      </c>
      <c r="K30" s="62">
        <v>0</v>
      </c>
      <c r="L30" s="63">
        <v>0</v>
      </c>
      <c r="M30" s="64">
        <v>0</v>
      </c>
      <c r="N30" s="62">
        <v>0</v>
      </c>
      <c r="O30" s="63">
        <v>0</v>
      </c>
      <c r="P30" s="64">
        <v>0</v>
      </c>
      <c r="Q30" s="66">
        <v>0</v>
      </c>
      <c r="R30" s="63">
        <v>0</v>
      </c>
      <c r="S30" s="64">
        <v>0</v>
      </c>
    </row>
    <row r="31" spans="2:28" ht="6" customHeight="1" thickBot="1" x14ac:dyDescent="0.25"/>
    <row r="32" spans="2:28" x14ac:dyDescent="0.2">
      <c r="D32" s="67" t="s">
        <v>56</v>
      </c>
      <c r="E32" s="68">
        <f>SUM(E4:E9)</f>
        <v>1.5</v>
      </c>
      <c r="F32" s="68">
        <f t="shared" ref="F32:S32" si="0">SUM(F4:F9)</f>
        <v>2.7</v>
      </c>
      <c r="G32" s="68">
        <f t="shared" si="0"/>
        <v>3.1</v>
      </c>
      <c r="H32" s="68">
        <f t="shared" si="0"/>
        <v>2.1</v>
      </c>
      <c r="I32" s="68">
        <f t="shared" si="0"/>
        <v>1.0999999999999999</v>
      </c>
      <c r="J32" s="68">
        <f t="shared" si="0"/>
        <v>0</v>
      </c>
      <c r="K32" s="68">
        <f t="shared" si="0"/>
        <v>0</v>
      </c>
      <c r="L32" s="68">
        <f t="shared" si="0"/>
        <v>0</v>
      </c>
      <c r="M32" s="68">
        <f t="shared" si="0"/>
        <v>0</v>
      </c>
      <c r="N32" s="68">
        <f t="shared" si="0"/>
        <v>0</v>
      </c>
      <c r="O32" s="68">
        <f t="shared" si="0"/>
        <v>0</v>
      </c>
      <c r="P32" s="68">
        <f t="shared" si="0"/>
        <v>0</v>
      </c>
      <c r="Q32" s="68">
        <f t="shared" si="0"/>
        <v>0</v>
      </c>
      <c r="R32" s="68">
        <f t="shared" si="0"/>
        <v>0</v>
      </c>
      <c r="S32" s="69">
        <f t="shared" si="0"/>
        <v>0</v>
      </c>
    </row>
    <row r="33" spans="4:19" x14ac:dyDescent="0.2">
      <c r="D33" s="70" t="s">
        <v>57</v>
      </c>
      <c r="E33" s="42">
        <f>SUM(E10:E20)</f>
        <v>0</v>
      </c>
      <c r="F33" s="42">
        <f t="shared" ref="F33:S33" si="1">SUM(F10:F20)</f>
        <v>0.60000000000000009</v>
      </c>
      <c r="G33" s="42">
        <f t="shared" si="1"/>
        <v>2.3000000000000003</v>
      </c>
      <c r="H33" s="42">
        <f t="shared" si="1"/>
        <v>6.5</v>
      </c>
      <c r="I33" s="42">
        <f t="shared" si="1"/>
        <v>10.5</v>
      </c>
      <c r="J33" s="42">
        <f t="shared" si="1"/>
        <v>11.7</v>
      </c>
      <c r="K33" s="42">
        <f t="shared" si="1"/>
        <v>11.5</v>
      </c>
      <c r="L33" s="42">
        <f t="shared" si="1"/>
        <v>10.700000000000001</v>
      </c>
      <c r="M33" s="42">
        <f t="shared" si="1"/>
        <v>8.7999999999999989</v>
      </c>
      <c r="N33" s="42">
        <f t="shared" si="1"/>
        <v>7.3000000000000007</v>
      </c>
      <c r="O33" s="42">
        <f t="shared" si="1"/>
        <v>5.1000000000000005</v>
      </c>
      <c r="P33" s="42">
        <f t="shared" si="1"/>
        <v>2.6</v>
      </c>
      <c r="Q33" s="42">
        <f t="shared" si="1"/>
        <v>0.5</v>
      </c>
      <c r="R33" s="42">
        <f t="shared" si="1"/>
        <v>0</v>
      </c>
      <c r="S33" s="43">
        <f t="shared" si="1"/>
        <v>0</v>
      </c>
    </row>
    <row r="34" spans="4:19" x14ac:dyDescent="0.2">
      <c r="D34" s="71" t="s">
        <v>58</v>
      </c>
      <c r="E34" s="49">
        <f>SUM(E21:E25)</f>
        <v>0.60000000000000009</v>
      </c>
      <c r="F34" s="49">
        <f t="shared" ref="F34:S34" si="2">SUM(F21:F25)</f>
        <v>0.60000000000000009</v>
      </c>
      <c r="G34" s="49">
        <f t="shared" si="2"/>
        <v>1</v>
      </c>
      <c r="H34" s="49">
        <f t="shared" si="2"/>
        <v>2.6</v>
      </c>
      <c r="I34" s="49">
        <f t="shared" si="2"/>
        <v>2.6</v>
      </c>
      <c r="J34" s="49">
        <f t="shared" si="2"/>
        <v>2.8000000000000003</v>
      </c>
      <c r="K34" s="49">
        <f t="shared" si="2"/>
        <v>4.3</v>
      </c>
      <c r="L34" s="49">
        <f t="shared" si="2"/>
        <v>4.3</v>
      </c>
      <c r="M34" s="49">
        <f t="shared" si="2"/>
        <v>4.3</v>
      </c>
      <c r="N34" s="49">
        <f t="shared" si="2"/>
        <v>2.7</v>
      </c>
      <c r="O34" s="49">
        <f t="shared" si="2"/>
        <v>2.7</v>
      </c>
      <c r="P34" s="49">
        <f t="shared" si="2"/>
        <v>2.4000000000000004</v>
      </c>
      <c r="Q34" s="49">
        <f t="shared" si="2"/>
        <v>0.8</v>
      </c>
      <c r="R34" s="49">
        <f t="shared" si="2"/>
        <v>0.4</v>
      </c>
      <c r="S34" s="50">
        <f t="shared" si="2"/>
        <v>0.4</v>
      </c>
    </row>
    <row r="35" spans="4:19" ht="16" thickBot="1" x14ac:dyDescent="0.25">
      <c r="D35" s="72" t="s">
        <v>59</v>
      </c>
      <c r="E35" s="63">
        <f>SUM(E26:E30)</f>
        <v>0</v>
      </c>
      <c r="F35" s="63">
        <f t="shared" ref="F35:S35" si="3">SUM(F26:F30)</f>
        <v>0</v>
      </c>
      <c r="G35" s="63">
        <f t="shared" si="3"/>
        <v>0</v>
      </c>
      <c r="H35" s="63">
        <f t="shared" si="3"/>
        <v>0</v>
      </c>
      <c r="I35" s="63">
        <f t="shared" si="3"/>
        <v>0.25</v>
      </c>
      <c r="J35" s="63">
        <f t="shared" si="3"/>
        <v>0.5</v>
      </c>
      <c r="K35" s="63">
        <f t="shared" si="3"/>
        <v>1</v>
      </c>
      <c r="L35" s="63">
        <f t="shared" si="3"/>
        <v>2.5</v>
      </c>
      <c r="M35" s="63">
        <f t="shared" si="3"/>
        <v>3</v>
      </c>
      <c r="N35" s="63">
        <f t="shared" si="3"/>
        <v>4.125</v>
      </c>
      <c r="O35" s="63">
        <f t="shared" si="3"/>
        <v>6.25</v>
      </c>
      <c r="P35" s="63">
        <f t="shared" si="3"/>
        <v>7.5</v>
      </c>
      <c r="Q35" s="63">
        <f t="shared" si="3"/>
        <v>8.625</v>
      </c>
      <c r="R35" s="63">
        <f t="shared" si="3"/>
        <v>8.75</v>
      </c>
      <c r="S35" s="64">
        <f t="shared" si="3"/>
        <v>8.75</v>
      </c>
    </row>
    <row r="36" spans="4:19" ht="6" customHeight="1" thickBot="1" x14ac:dyDescent="0.25"/>
    <row r="37" spans="4:19" ht="16" thickBot="1" x14ac:dyDescent="0.25">
      <c r="D37" s="73" t="s">
        <v>60</v>
      </c>
      <c r="E37" s="74">
        <f>SUM(E4:E30)</f>
        <v>2.1</v>
      </c>
      <c r="F37" s="74">
        <f t="shared" ref="F37:S37" si="4">SUM(F4:F30)</f>
        <v>3.9000000000000008</v>
      </c>
      <c r="G37" s="74">
        <f t="shared" si="4"/>
        <v>6.4000000000000012</v>
      </c>
      <c r="H37" s="74">
        <f t="shared" si="4"/>
        <v>11.2</v>
      </c>
      <c r="I37" s="74">
        <f t="shared" si="4"/>
        <v>14.45</v>
      </c>
      <c r="J37" s="74">
        <f t="shared" si="4"/>
        <v>15</v>
      </c>
      <c r="K37" s="74">
        <f t="shared" si="4"/>
        <v>16.8</v>
      </c>
      <c r="L37" s="74">
        <f t="shared" si="4"/>
        <v>17.5</v>
      </c>
      <c r="M37" s="74">
        <f t="shared" si="4"/>
        <v>16.100000000000001</v>
      </c>
      <c r="N37" s="74">
        <f t="shared" si="4"/>
        <v>14.125</v>
      </c>
      <c r="O37" s="74">
        <f t="shared" si="4"/>
        <v>14.05</v>
      </c>
      <c r="P37" s="74">
        <f t="shared" si="4"/>
        <v>12.5</v>
      </c>
      <c r="Q37" s="74">
        <f t="shared" si="4"/>
        <v>9.9250000000000007</v>
      </c>
      <c r="R37" s="74">
        <f t="shared" si="4"/>
        <v>9.15</v>
      </c>
      <c r="S37" s="75">
        <f t="shared" si="4"/>
        <v>9.15</v>
      </c>
    </row>
  </sheetData>
  <mergeCells count="10">
    <mergeCell ref="H2:J2"/>
    <mergeCell ref="K2:M2"/>
    <mergeCell ref="N2:P2"/>
    <mergeCell ref="Q2:S2"/>
    <mergeCell ref="U2:AB20"/>
    <mergeCell ref="B4:B9"/>
    <mergeCell ref="B10:B20"/>
    <mergeCell ref="B21:B25"/>
    <mergeCell ref="B26:B30"/>
    <mergeCell ref="E2:G2"/>
  </mergeCells>
  <pageMargins left="0.7" right="0.7" top="0.75" bottom="0.75" header="0.3" footer="0.3"/>
  <headerFooter>
    <oddHeader>&amp;L&amp;"Aptos"&amp;12&amp;K00B294 Proprietary&amp;1#_x000D_</oddHeader>
  </headerFooter>
  <ignoredErrors>
    <ignoredError sqref="E32:S3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68958-57FD-4836-9D8B-09EA2326883D}">
  <dimension ref="B1:AB37"/>
  <sheetViews>
    <sheetView tabSelected="1" zoomScaleNormal="100" workbookViewId="0">
      <selection activeCell="I43" sqref="I43"/>
    </sheetView>
  </sheetViews>
  <sheetFormatPr baseColWidth="10" defaultColWidth="8.83203125" defaultRowHeight="15" x14ac:dyDescent="0.2"/>
  <cols>
    <col min="1" max="1" width="1.6640625" customWidth="1"/>
    <col min="3" max="3" width="1.6640625" customWidth="1"/>
    <col min="4" max="4" width="30.33203125" bestFit="1" customWidth="1"/>
  </cols>
  <sheetData>
    <row r="1" spans="2:28" ht="6" customHeight="1" thickBot="1" x14ac:dyDescent="0.25"/>
    <row r="2" spans="2:28" ht="17" thickBot="1" x14ac:dyDescent="0.25">
      <c r="E2" s="107" t="s">
        <v>0</v>
      </c>
      <c r="F2" s="108"/>
      <c r="G2" s="109"/>
      <c r="H2" s="107" t="s">
        <v>1</v>
      </c>
      <c r="I2" s="108"/>
      <c r="J2" s="109"/>
      <c r="K2" s="107" t="s">
        <v>2</v>
      </c>
      <c r="L2" s="108"/>
      <c r="M2" s="109"/>
      <c r="N2" s="107" t="s">
        <v>3</v>
      </c>
      <c r="O2" s="108"/>
      <c r="P2" s="109"/>
      <c r="Q2" s="110" t="s">
        <v>4</v>
      </c>
      <c r="R2" s="108"/>
      <c r="S2" s="109"/>
      <c r="U2" s="111" t="s">
        <v>61</v>
      </c>
      <c r="V2" s="112"/>
      <c r="W2" s="112"/>
      <c r="X2" s="112"/>
      <c r="Y2" s="112"/>
      <c r="Z2" s="112"/>
      <c r="AA2" s="112"/>
      <c r="AB2" s="113"/>
    </row>
    <row r="3" spans="2:28" ht="17" thickBot="1" x14ac:dyDescent="0.25">
      <c r="E3" s="23" t="s">
        <v>5</v>
      </c>
      <c r="F3" s="24" t="s">
        <v>6</v>
      </c>
      <c r="G3" s="25" t="s">
        <v>7</v>
      </c>
      <c r="H3" s="23" t="s">
        <v>5</v>
      </c>
      <c r="I3" s="24" t="s">
        <v>6</v>
      </c>
      <c r="J3" s="25" t="s">
        <v>7</v>
      </c>
      <c r="K3" s="23" t="s">
        <v>5</v>
      </c>
      <c r="L3" s="24" t="s">
        <v>6</v>
      </c>
      <c r="M3" s="25" t="s">
        <v>7</v>
      </c>
      <c r="N3" s="23" t="s">
        <v>5</v>
      </c>
      <c r="O3" s="24" t="s">
        <v>6</v>
      </c>
      <c r="P3" s="25" t="s">
        <v>7</v>
      </c>
      <c r="Q3" s="26" t="s">
        <v>5</v>
      </c>
      <c r="R3" s="24" t="s">
        <v>6</v>
      </c>
      <c r="S3" s="25" t="s">
        <v>7</v>
      </c>
      <c r="U3" s="114"/>
      <c r="V3" s="83"/>
      <c r="W3" s="83"/>
      <c r="X3" s="83"/>
      <c r="Y3" s="83"/>
      <c r="Z3" s="83"/>
      <c r="AA3" s="83"/>
      <c r="AB3" s="115"/>
    </row>
    <row r="4" spans="2:28" x14ac:dyDescent="0.2">
      <c r="B4" s="95" t="s">
        <v>52</v>
      </c>
      <c r="C4" s="76"/>
      <c r="D4" s="27" t="s">
        <v>25</v>
      </c>
      <c r="E4" s="28">
        <v>0.2</v>
      </c>
      <c r="F4" s="29">
        <v>0.2</v>
      </c>
      <c r="G4" s="30">
        <v>0.2</v>
      </c>
      <c r="H4" s="28">
        <v>0.2</v>
      </c>
      <c r="I4" s="29">
        <v>0</v>
      </c>
      <c r="J4" s="30">
        <v>0</v>
      </c>
      <c r="K4" s="28">
        <v>0</v>
      </c>
      <c r="L4" s="29">
        <v>0</v>
      </c>
      <c r="M4" s="30">
        <v>0</v>
      </c>
      <c r="N4" s="28">
        <v>0</v>
      </c>
      <c r="O4" s="29">
        <v>0</v>
      </c>
      <c r="P4" s="30">
        <v>0</v>
      </c>
      <c r="Q4" s="32">
        <v>0</v>
      </c>
      <c r="R4" s="29">
        <v>0</v>
      </c>
      <c r="S4" s="30">
        <v>0</v>
      </c>
      <c r="U4" s="114"/>
      <c r="V4" s="83"/>
      <c r="W4" s="83"/>
      <c r="X4" s="83"/>
      <c r="Y4" s="83"/>
      <c r="Z4" s="83"/>
      <c r="AA4" s="83"/>
      <c r="AB4" s="115"/>
    </row>
    <row r="5" spans="2:28" x14ac:dyDescent="0.2">
      <c r="B5" s="96"/>
      <c r="C5" s="76"/>
      <c r="D5" s="33" t="s">
        <v>26</v>
      </c>
      <c r="E5" s="34">
        <v>0.1</v>
      </c>
      <c r="F5" s="35">
        <v>0.2</v>
      </c>
      <c r="G5" s="36">
        <v>0.2</v>
      </c>
      <c r="H5" s="34">
        <v>0.2</v>
      </c>
      <c r="I5" s="35">
        <v>0</v>
      </c>
      <c r="J5" s="36">
        <v>0</v>
      </c>
      <c r="K5" s="34">
        <v>0</v>
      </c>
      <c r="L5" s="35">
        <v>0</v>
      </c>
      <c r="M5" s="36">
        <v>0</v>
      </c>
      <c r="N5" s="34">
        <v>0</v>
      </c>
      <c r="O5" s="35">
        <v>0</v>
      </c>
      <c r="P5" s="36">
        <v>0</v>
      </c>
      <c r="Q5" s="39">
        <v>0</v>
      </c>
      <c r="R5" s="35">
        <v>0</v>
      </c>
      <c r="S5" s="36">
        <v>0</v>
      </c>
      <c r="U5" s="114"/>
      <c r="V5" s="83"/>
      <c r="W5" s="83"/>
      <c r="X5" s="83"/>
      <c r="Y5" s="83"/>
      <c r="Z5" s="83"/>
      <c r="AA5" s="83"/>
      <c r="AB5" s="115"/>
    </row>
    <row r="6" spans="2:28" x14ac:dyDescent="0.2">
      <c r="B6" s="96"/>
      <c r="C6" s="76"/>
      <c r="D6" s="33" t="s">
        <v>27</v>
      </c>
      <c r="E6" s="34">
        <v>0.2</v>
      </c>
      <c r="F6" s="35">
        <v>0.2</v>
      </c>
      <c r="G6" s="36">
        <v>0.2</v>
      </c>
      <c r="H6" s="34">
        <v>0.2</v>
      </c>
      <c r="I6" s="35">
        <v>0</v>
      </c>
      <c r="J6" s="36">
        <v>0</v>
      </c>
      <c r="K6" s="34">
        <v>0</v>
      </c>
      <c r="L6" s="35">
        <v>0</v>
      </c>
      <c r="M6" s="36">
        <v>0</v>
      </c>
      <c r="N6" s="34">
        <v>0</v>
      </c>
      <c r="O6" s="35">
        <v>0</v>
      </c>
      <c r="P6" s="36">
        <v>0</v>
      </c>
      <c r="Q6" s="39">
        <v>0</v>
      </c>
      <c r="R6" s="35">
        <v>0</v>
      </c>
      <c r="S6" s="36">
        <v>0</v>
      </c>
      <c r="U6" s="114"/>
      <c r="V6" s="83"/>
      <c r="W6" s="83"/>
      <c r="X6" s="83"/>
      <c r="Y6" s="83"/>
      <c r="Z6" s="83"/>
      <c r="AA6" s="83"/>
      <c r="AB6" s="115"/>
    </row>
    <row r="7" spans="2:28" x14ac:dyDescent="0.2">
      <c r="B7" s="96"/>
      <c r="C7" s="76"/>
      <c r="D7" s="33" t="s">
        <v>28</v>
      </c>
      <c r="E7" s="34">
        <v>0.2</v>
      </c>
      <c r="F7" s="35">
        <v>0.4</v>
      </c>
      <c r="G7" s="36">
        <v>0.4</v>
      </c>
      <c r="H7" s="34">
        <v>0.4</v>
      </c>
      <c r="I7" s="35">
        <v>0</v>
      </c>
      <c r="J7" s="36">
        <v>0</v>
      </c>
      <c r="K7" s="34">
        <v>0</v>
      </c>
      <c r="L7" s="35">
        <v>0</v>
      </c>
      <c r="M7" s="36">
        <v>0</v>
      </c>
      <c r="N7" s="34">
        <v>0</v>
      </c>
      <c r="O7" s="35">
        <v>0</v>
      </c>
      <c r="P7" s="36">
        <v>0</v>
      </c>
      <c r="Q7" s="39">
        <v>0</v>
      </c>
      <c r="R7" s="35">
        <v>0</v>
      </c>
      <c r="S7" s="36">
        <v>0</v>
      </c>
      <c r="U7" s="114"/>
      <c r="V7" s="83"/>
      <c r="W7" s="83"/>
      <c r="X7" s="83"/>
      <c r="Y7" s="83"/>
      <c r="Z7" s="83"/>
      <c r="AA7" s="83"/>
      <c r="AB7" s="115"/>
    </row>
    <row r="8" spans="2:28" x14ac:dyDescent="0.2">
      <c r="B8" s="96"/>
      <c r="C8" s="76"/>
      <c r="D8" s="33" t="s">
        <v>29</v>
      </c>
      <c r="E8" s="34">
        <v>0.1</v>
      </c>
      <c r="F8" s="35">
        <v>0.1</v>
      </c>
      <c r="G8" s="36">
        <v>0.1</v>
      </c>
      <c r="H8" s="34">
        <v>0.1</v>
      </c>
      <c r="I8" s="35">
        <v>0</v>
      </c>
      <c r="J8" s="36">
        <v>0</v>
      </c>
      <c r="K8" s="34">
        <v>0</v>
      </c>
      <c r="L8" s="35">
        <v>0</v>
      </c>
      <c r="M8" s="36">
        <v>0</v>
      </c>
      <c r="N8" s="34">
        <v>0</v>
      </c>
      <c r="O8" s="35">
        <v>0</v>
      </c>
      <c r="P8" s="36">
        <v>0</v>
      </c>
      <c r="Q8" s="39">
        <v>0</v>
      </c>
      <c r="R8" s="35">
        <v>0</v>
      </c>
      <c r="S8" s="36">
        <v>0</v>
      </c>
      <c r="U8" s="114"/>
      <c r="V8" s="83"/>
      <c r="W8" s="83"/>
      <c r="X8" s="83"/>
      <c r="Y8" s="83"/>
      <c r="Z8" s="83"/>
      <c r="AA8" s="83"/>
      <c r="AB8" s="115"/>
    </row>
    <row r="9" spans="2:28" ht="16" thickBot="1" x14ac:dyDescent="0.25">
      <c r="B9" s="97"/>
      <c r="C9" s="76"/>
      <c r="D9" s="33" t="s">
        <v>30</v>
      </c>
      <c r="E9" s="34">
        <v>0</v>
      </c>
      <c r="F9" s="35">
        <v>0</v>
      </c>
      <c r="G9" s="36">
        <v>0</v>
      </c>
      <c r="H9" s="34">
        <v>0</v>
      </c>
      <c r="I9" s="35">
        <v>0</v>
      </c>
      <c r="J9" s="36">
        <v>0</v>
      </c>
      <c r="K9" s="34">
        <v>0</v>
      </c>
      <c r="L9" s="35">
        <v>0</v>
      </c>
      <c r="M9" s="36">
        <v>0</v>
      </c>
      <c r="N9" s="34">
        <v>0</v>
      </c>
      <c r="O9" s="35">
        <v>0</v>
      </c>
      <c r="P9" s="36">
        <v>0</v>
      </c>
      <c r="Q9" s="39">
        <v>0</v>
      </c>
      <c r="R9" s="35">
        <v>0</v>
      </c>
      <c r="S9" s="36">
        <v>0</v>
      </c>
      <c r="U9" s="114"/>
      <c r="V9" s="83"/>
      <c r="W9" s="83"/>
      <c r="X9" s="83"/>
      <c r="Y9" s="83"/>
      <c r="Z9" s="83"/>
      <c r="AA9" s="83"/>
      <c r="AB9" s="115"/>
    </row>
    <row r="10" spans="2:28" x14ac:dyDescent="0.2">
      <c r="B10" s="98" t="s">
        <v>53</v>
      </c>
      <c r="C10" s="76"/>
      <c r="D10" s="40" t="s">
        <v>31</v>
      </c>
      <c r="E10" s="41">
        <v>0</v>
      </c>
      <c r="F10" s="42">
        <v>0</v>
      </c>
      <c r="G10" s="43">
        <v>0.1</v>
      </c>
      <c r="H10" s="41">
        <v>0.4</v>
      </c>
      <c r="I10" s="42">
        <v>1</v>
      </c>
      <c r="J10" s="43">
        <v>1</v>
      </c>
      <c r="K10" s="41">
        <v>1</v>
      </c>
      <c r="L10" s="42">
        <v>1</v>
      </c>
      <c r="M10" s="43">
        <v>1</v>
      </c>
      <c r="N10" s="41">
        <v>1</v>
      </c>
      <c r="O10" s="42">
        <v>1</v>
      </c>
      <c r="P10" s="43">
        <v>0.5</v>
      </c>
      <c r="Q10" s="46">
        <v>0.1</v>
      </c>
      <c r="R10" s="42">
        <v>0</v>
      </c>
      <c r="S10" s="43">
        <v>0</v>
      </c>
      <c r="U10" s="114"/>
      <c r="V10" s="83"/>
      <c r="W10" s="83"/>
      <c r="X10" s="83"/>
      <c r="Y10" s="83"/>
      <c r="Z10" s="83"/>
      <c r="AA10" s="83"/>
      <c r="AB10" s="115"/>
    </row>
    <row r="11" spans="2:28" x14ac:dyDescent="0.2">
      <c r="B11" s="99"/>
      <c r="C11" s="76"/>
      <c r="D11" s="40" t="s">
        <v>32</v>
      </c>
      <c r="E11" s="41">
        <v>0</v>
      </c>
      <c r="F11" s="42">
        <v>0</v>
      </c>
      <c r="G11" s="43">
        <v>0</v>
      </c>
      <c r="H11" s="41">
        <v>0.2</v>
      </c>
      <c r="I11" s="42">
        <v>0.4</v>
      </c>
      <c r="J11" s="43">
        <v>0.6</v>
      </c>
      <c r="K11" s="41">
        <v>0.6</v>
      </c>
      <c r="L11" s="42">
        <v>0.6</v>
      </c>
      <c r="M11" s="43">
        <v>0.4</v>
      </c>
      <c r="N11" s="41">
        <v>0.4</v>
      </c>
      <c r="O11" s="42">
        <v>0.2</v>
      </c>
      <c r="P11" s="43">
        <v>0</v>
      </c>
      <c r="Q11" s="46">
        <v>0</v>
      </c>
      <c r="R11" s="42">
        <v>0</v>
      </c>
      <c r="S11" s="43">
        <v>0</v>
      </c>
      <c r="U11" s="114"/>
      <c r="V11" s="83"/>
      <c r="W11" s="83"/>
      <c r="X11" s="83"/>
      <c r="Y11" s="83"/>
      <c r="Z11" s="83"/>
      <c r="AA11" s="83"/>
      <c r="AB11" s="115"/>
    </row>
    <row r="12" spans="2:28" x14ac:dyDescent="0.2">
      <c r="B12" s="99"/>
      <c r="C12" s="76"/>
      <c r="D12" s="40" t="s">
        <v>33</v>
      </c>
      <c r="E12" s="41">
        <v>0</v>
      </c>
      <c r="F12" s="42">
        <v>0.1</v>
      </c>
      <c r="G12" s="43">
        <v>0.2</v>
      </c>
      <c r="H12" s="41">
        <v>0.2</v>
      </c>
      <c r="I12" s="42">
        <v>0.4</v>
      </c>
      <c r="J12" s="43">
        <v>0.4</v>
      </c>
      <c r="K12" s="41">
        <v>0.2</v>
      </c>
      <c r="L12" s="42">
        <v>0.1</v>
      </c>
      <c r="M12" s="43">
        <v>0.1</v>
      </c>
      <c r="N12" s="41">
        <v>0.1</v>
      </c>
      <c r="O12" s="42">
        <v>0</v>
      </c>
      <c r="P12" s="43">
        <v>0</v>
      </c>
      <c r="Q12" s="46">
        <v>0</v>
      </c>
      <c r="R12" s="42">
        <v>0</v>
      </c>
      <c r="S12" s="43">
        <v>0</v>
      </c>
      <c r="U12" s="114"/>
      <c r="V12" s="83"/>
      <c r="W12" s="83"/>
      <c r="X12" s="83"/>
      <c r="Y12" s="83"/>
      <c r="Z12" s="83"/>
      <c r="AA12" s="83"/>
      <c r="AB12" s="115"/>
    </row>
    <row r="13" spans="2:28" x14ac:dyDescent="0.2">
      <c r="B13" s="99"/>
      <c r="C13" s="76"/>
      <c r="D13" s="40" t="s">
        <v>34</v>
      </c>
      <c r="E13" s="41">
        <v>0</v>
      </c>
      <c r="F13" s="42">
        <v>0.1</v>
      </c>
      <c r="G13" s="43">
        <v>0.1</v>
      </c>
      <c r="H13" s="41">
        <v>0.1</v>
      </c>
      <c r="I13" s="42">
        <v>0.1</v>
      </c>
      <c r="J13" s="43">
        <v>0.1</v>
      </c>
      <c r="K13" s="41">
        <v>0.1</v>
      </c>
      <c r="L13" s="42">
        <v>0</v>
      </c>
      <c r="M13" s="43">
        <v>0</v>
      </c>
      <c r="N13" s="41">
        <v>0</v>
      </c>
      <c r="O13" s="42">
        <v>0</v>
      </c>
      <c r="P13" s="43">
        <v>0</v>
      </c>
      <c r="Q13" s="46">
        <v>0</v>
      </c>
      <c r="R13" s="42">
        <v>0</v>
      </c>
      <c r="S13" s="43">
        <v>0</v>
      </c>
      <c r="U13" s="114"/>
      <c r="V13" s="83"/>
      <c r="W13" s="83"/>
      <c r="X13" s="83"/>
      <c r="Y13" s="83"/>
      <c r="Z13" s="83"/>
      <c r="AA13" s="83"/>
      <c r="AB13" s="115"/>
    </row>
    <row r="14" spans="2:28" x14ac:dyDescent="0.2">
      <c r="B14" s="99"/>
      <c r="C14" s="76"/>
      <c r="D14" s="40" t="s">
        <v>35</v>
      </c>
      <c r="E14" s="41">
        <v>0</v>
      </c>
      <c r="F14" s="42">
        <v>0</v>
      </c>
      <c r="G14" s="43">
        <v>0</v>
      </c>
      <c r="H14" s="41">
        <v>0.2</v>
      </c>
      <c r="I14" s="42">
        <v>0.8</v>
      </c>
      <c r="J14" s="43">
        <v>1.2</v>
      </c>
      <c r="K14" s="41">
        <v>1.6</v>
      </c>
      <c r="L14" s="42">
        <v>1.6</v>
      </c>
      <c r="M14" s="43">
        <v>1.6</v>
      </c>
      <c r="N14" s="41">
        <v>0.8</v>
      </c>
      <c r="O14" s="42">
        <v>0.6</v>
      </c>
      <c r="P14" s="43">
        <v>0.4</v>
      </c>
      <c r="Q14" s="46">
        <v>0.2</v>
      </c>
      <c r="R14" s="42">
        <v>0</v>
      </c>
      <c r="S14" s="43">
        <v>0</v>
      </c>
      <c r="U14" s="114"/>
      <c r="V14" s="83"/>
      <c r="W14" s="83"/>
      <c r="X14" s="83"/>
      <c r="Y14" s="83"/>
      <c r="Z14" s="83"/>
      <c r="AA14" s="83"/>
      <c r="AB14" s="115"/>
    </row>
    <row r="15" spans="2:28" x14ac:dyDescent="0.2">
      <c r="B15" s="99"/>
      <c r="C15" s="76"/>
      <c r="D15" s="40" t="s">
        <v>36</v>
      </c>
      <c r="E15" s="41">
        <v>0</v>
      </c>
      <c r="F15" s="42">
        <v>0</v>
      </c>
      <c r="G15" s="43">
        <v>0</v>
      </c>
      <c r="H15" s="41">
        <v>0.1</v>
      </c>
      <c r="I15" s="42">
        <v>0.1</v>
      </c>
      <c r="J15" s="43">
        <v>0.1</v>
      </c>
      <c r="K15" s="41">
        <v>0.1</v>
      </c>
      <c r="L15" s="42">
        <v>0.1</v>
      </c>
      <c r="M15" s="43">
        <v>0.1</v>
      </c>
      <c r="N15" s="41">
        <v>0.1</v>
      </c>
      <c r="O15" s="42">
        <v>0</v>
      </c>
      <c r="P15" s="43">
        <v>0</v>
      </c>
      <c r="Q15" s="46">
        <v>0</v>
      </c>
      <c r="R15" s="42">
        <v>0</v>
      </c>
      <c r="S15" s="43">
        <v>0</v>
      </c>
      <c r="U15" s="114"/>
      <c r="V15" s="83"/>
      <c r="W15" s="83"/>
      <c r="X15" s="83"/>
      <c r="Y15" s="83"/>
      <c r="Z15" s="83"/>
      <c r="AA15" s="83"/>
      <c r="AB15" s="115"/>
    </row>
    <row r="16" spans="2:28" x14ac:dyDescent="0.2">
      <c r="B16" s="99"/>
      <c r="C16" s="76"/>
      <c r="D16" s="40" t="s">
        <v>37</v>
      </c>
      <c r="E16" s="41">
        <v>0</v>
      </c>
      <c r="F16" s="42">
        <v>0.2</v>
      </c>
      <c r="G16" s="43">
        <v>0.4</v>
      </c>
      <c r="H16" s="41">
        <v>0.8</v>
      </c>
      <c r="I16" s="42">
        <v>1</v>
      </c>
      <c r="J16" s="43">
        <v>1</v>
      </c>
      <c r="K16" s="41">
        <v>1</v>
      </c>
      <c r="L16" s="42">
        <v>1</v>
      </c>
      <c r="M16" s="43">
        <v>0.6</v>
      </c>
      <c r="N16" s="41">
        <v>0.6</v>
      </c>
      <c r="O16" s="42">
        <v>0.4</v>
      </c>
      <c r="P16" s="43">
        <v>0.2</v>
      </c>
      <c r="Q16" s="46">
        <v>0</v>
      </c>
      <c r="R16" s="42">
        <v>0</v>
      </c>
      <c r="S16" s="43">
        <v>0</v>
      </c>
      <c r="U16" s="114"/>
      <c r="V16" s="83"/>
      <c r="W16" s="83"/>
      <c r="X16" s="83"/>
      <c r="Y16" s="83"/>
      <c r="Z16" s="83"/>
      <c r="AA16" s="83"/>
      <c r="AB16" s="115"/>
    </row>
    <row r="17" spans="2:28" x14ac:dyDescent="0.2">
      <c r="B17" s="99"/>
      <c r="C17" s="76"/>
      <c r="D17" s="40" t="s">
        <v>38</v>
      </c>
      <c r="E17" s="41">
        <v>0</v>
      </c>
      <c r="F17" s="42">
        <v>0</v>
      </c>
      <c r="G17" s="43">
        <v>0</v>
      </c>
      <c r="H17" s="41">
        <v>0.4</v>
      </c>
      <c r="I17" s="42">
        <v>1</v>
      </c>
      <c r="J17" s="43">
        <v>1</v>
      </c>
      <c r="K17" s="41">
        <v>1</v>
      </c>
      <c r="L17" s="42">
        <v>1</v>
      </c>
      <c r="M17" s="43">
        <v>1</v>
      </c>
      <c r="N17" s="41">
        <v>1</v>
      </c>
      <c r="O17" s="42">
        <v>0.6</v>
      </c>
      <c r="P17" s="43">
        <v>0.4</v>
      </c>
      <c r="Q17" s="46">
        <v>0</v>
      </c>
      <c r="R17" s="42">
        <v>0</v>
      </c>
      <c r="S17" s="43">
        <v>0</v>
      </c>
      <c r="U17" s="114"/>
      <c r="V17" s="83"/>
      <c r="W17" s="83"/>
      <c r="X17" s="83"/>
      <c r="Y17" s="83"/>
      <c r="Z17" s="83"/>
      <c r="AA17" s="83"/>
      <c r="AB17" s="115"/>
    </row>
    <row r="18" spans="2:28" x14ac:dyDescent="0.2">
      <c r="B18" s="99"/>
      <c r="C18" s="76"/>
      <c r="D18" s="40" t="s">
        <v>39</v>
      </c>
      <c r="E18" s="41">
        <v>0</v>
      </c>
      <c r="F18" s="42">
        <v>0.2</v>
      </c>
      <c r="G18" s="43">
        <v>0.6</v>
      </c>
      <c r="H18" s="41">
        <v>1.2</v>
      </c>
      <c r="I18" s="42">
        <v>1.8</v>
      </c>
      <c r="J18" s="43">
        <v>2.2000000000000002</v>
      </c>
      <c r="K18" s="41">
        <v>2.4</v>
      </c>
      <c r="L18" s="42">
        <v>2.4</v>
      </c>
      <c r="M18" s="43">
        <v>2</v>
      </c>
      <c r="N18" s="41">
        <v>1.6</v>
      </c>
      <c r="O18" s="42">
        <v>0.8</v>
      </c>
      <c r="P18" s="43">
        <v>0.4</v>
      </c>
      <c r="Q18" s="46">
        <v>0</v>
      </c>
      <c r="R18" s="42">
        <v>0</v>
      </c>
      <c r="S18" s="43">
        <v>0</v>
      </c>
      <c r="U18" s="114"/>
      <c r="V18" s="83"/>
      <c r="W18" s="83"/>
      <c r="X18" s="83"/>
      <c r="Y18" s="83"/>
      <c r="Z18" s="83"/>
      <c r="AA18" s="83"/>
      <c r="AB18" s="115"/>
    </row>
    <row r="19" spans="2:28" x14ac:dyDescent="0.2">
      <c r="B19" s="99"/>
      <c r="C19" s="76"/>
      <c r="D19" s="40" t="s">
        <v>40</v>
      </c>
      <c r="E19" s="41">
        <v>0</v>
      </c>
      <c r="F19" s="42">
        <v>0</v>
      </c>
      <c r="G19" s="43">
        <v>0</v>
      </c>
      <c r="H19" s="41">
        <v>0.1</v>
      </c>
      <c r="I19" s="42">
        <v>0.4</v>
      </c>
      <c r="J19" s="43">
        <v>0.4</v>
      </c>
      <c r="K19" s="41">
        <v>0.4</v>
      </c>
      <c r="L19" s="42">
        <v>0.4</v>
      </c>
      <c r="M19" s="43">
        <v>0.2</v>
      </c>
      <c r="N19" s="41">
        <v>0.2</v>
      </c>
      <c r="O19" s="42">
        <v>0.1</v>
      </c>
      <c r="P19" s="43">
        <v>0.1</v>
      </c>
      <c r="Q19" s="46">
        <v>0</v>
      </c>
      <c r="R19" s="42">
        <v>0</v>
      </c>
      <c r="S19" s="43">
        <v>0</v>
      </c>
      <c r="U19" s="114"/>
      <c r="V19" s="83"/>
      <c r="W19" s="83"/>
      <c r="X19" s="83"/>
      <c r="Y19" s="83"/>
      <c r="Z19" s="83"/>
      <c r="AA19" s="83"/>
      <c r="AB19" s="115"/>
    </row>
    <row r="20" spans="2:28" ht="16" thickBot="1" x14ac:dyDescent="0.25">
      <c r="B20" s="100"/>
      <c r="C20" s="76"/>
      <c r="D20" s="40" t="s">
        <v>41</v>
      </c>
      <c r="E20" s="41">
        <v>0</v>
      </c>
      <c r="F20" s="42">
        <v>0</v>
      </c>
      <c r="G20" s="43">
        <v>0</v>
      </c>
      <c r="H20" s="41">
        <v>0</v>
      </c>
      <c r="I20" s="42">
        <v>0</v>
      </c>
      <c r="J20" s="43">
        <v>0</v>
      </c>
      <c r="K20" s="41">
        <v>0</v>
      </c>
      <c r="L20" s="42">
        <v>0</v>
      </c>
      <c r="M20" s="43">
        <v>0</v>
      </c>
      <c r="N20" s="41">
        <v>0</v>
      </c>
      <c r="O20" s="42">
        <v>0</v>
      </c>
      <c r="P20" s="43">
        <v>0</v>
      </c>
      <c r="Q20" s="46">
        <v>0</v>
      </c>
      <c r="R20" s="42">
        <v>0</v>
      </c>
      <c r="S20" s="43">
        <v>0</v>
      </c>
      <c r="U20" s="116"/>
      <c r="V20" s="117"/>
      <c r="W20" s="117"/>
      <c r="X20" s="117"/>
      <c r="Y20" s="117"/>
      <c r="Z20" s="117"/>
      <c r="AA20" s="117"/>
      <c r="AB20" s="118"/>
    </row>
    <row r="21" spans="2:28" x14ac:dyDescent="0.2">
      <c r="B21" s="101" t="s">
        <v>54</v>
      </c>
      <c r="C21" s="76"/>
      <c r="D21" s="47" t="s">
        <v>42</v>
      </c>
      <c r="E21" s="48">
        <v>0.2</v>
      </c>
      <c r="F21" s="49">
        <v>0.2</v>
      </c>
      <c r="G21" s="50">
        <v>0.2</v>
      </c>
      <c r="H21" s="48">
        <v>0.5</v>
      </c>
      <c r="I21" s="49">
        <v>0.5</v>
      </c>
      <c r="J21" s="50">
        <v>0.5</v>
      </c>
      <c r="K21" s="48">
        <v>0.5</v>
      </c>
      <c r="L21" s="49">
        <v>0.5</v>
      </c>
      <c r="M21" s="50">
        <v>0.5</v>
      </c>
      <c r="N21" s="48">
        <v>0.1</v>
      </c>
      <c r="O21" s="49">
        <v>0.1</v>
      </c>
      <c r="P21" s="50">
        <v>0.1</v>
      </c>
      <c r="Q21" s="53">
        <v>0.1</v>
      </c>
      <c r="R21" s="49">
        <v>0.1</v>
      </c>
      <c r="S21" s="50">
        <v>0.1</v>
      </c>
    </row>
    <row r="22" spans="2:28" x14ac:dyDescent="0.2">
      <c r="B22" s="102"/>
      <c r="C22" s="76"/>
      <c r="D22" s="47" t="s">
        <v>43</v>
      </c>
      <c r="E22" s="48">
        <v>0</v>
      </c>
      <c r="F22" s="49">
        <v>0</v>
      </c>
      <c r="G22" s="50">
        <v>0.2</v>
      </c>
      <c r="H22" s="48">
        <v>0.5</v>
      </c>
      <c r="I22" s="49">
        <v>0.5</v>
      </c>
      <c r="J22" s="50">
        <v>0.5</v>
      </c>
      <c r="K22" s="48">
        <v>0.5</v>
      </c>
      <c r="L22" s="49">
        <v>0.5</v>
      </c>
      <c r="M22" s="50">
        <v>0.5</v>
      </c>
      <c r="N22" s="48">
        <v>0.5</v>
      </c>
      <c r="O22" s="49">
        <v>0.5</v>
      </c>
      <c r="P22" s="50">
        <v>0.5</v>
      </c>
      <c r="Q22" s="53">
        <v>0.1</v>
      </c>
      <c r="R22" s="49">
        <v>0.1</v>
      </c>
      <c r="S22" s="50">
        <v>0.1</v>
      </c>
    </row>
    <row r="23" spans="2:28" x14ac:dyDescent="0.2">
      <c r="B23" s="102"/>
      <c r="C23" s="76"/>
      <c r="D23" s="47" t="s">
        <v>44</v>
      </c>
      <c r="E23" s="48">
        <v>0.2</v>
      </c>
      <c r="F23" s="49">
        <v>0.2</v>
      </c>
      <c r="G23" s="50">
        <v>0.2</v>
      </c>
      <c r="H23" s="48">
        <v>0.5</v>
      </c>
      <c r="I23" s="49">
        <v>0.5</v>
      </c>
      <c r="J23" s="50">
        <v>0.5</v>
      </c>
      <c r="K23" s="48">
        <v>0.5</v>
      </c>
      <c r="L23" s="49">
        <v>0.5</v>
      </c>
      <c r="M23" s="50">
        <v>0.5</v>
      </c>
      <c r="N23" s="48">
        <v>0.3</v>
      </c>
      <c r="O23" s="49">
        <v>0.3</v>
      </c>
      <c r="P23" s="50">
        <v>0.3</v>
      </c>
      <c r="Q23" s="53">
        <v>0.2</v>
      </c>
      <c r="R23" s="49">
        <v>0.1</v>
      </c>
      <c r="S23" s="50">
        <v>0.1</v>
      </c>
    </row>
    <row r="24" spans="2:28" x14ac:dyDescent="0.2">
      <c r="B24" s="102"/>
      <c r="C24" s="76"/>
      <c r="D24" s="47" t="s">
        <v>45</v>
      </c>
      <c r="E24" s="48">
        <v>0</v>
      </c>
      <c r="F24" s="49">
        <v>0</v>
      </c>
      <c r="G24" s="50">
        <v>0.2</v>
      </c>
      <c r="H24" s="48">
        <v>0.2</v>
      </c>
      <c r="I24" s="49">
        <v>0.2</v>
      </c>
      <c r="J24" s="50">
        <v>0.2</v>
      </c>
      <c r="K24" s="48">
        <v>0.5</v>
      </c>
      <c r="L24" s="49">
        <v>0.5</v>
      </c>
      <c r="M24" s="50">
        <v>0.5</v>
      </c>
      <c r="N24" s="48">
        <v>0.2</v>
      </c>
      <c r="O24" s="49">
        <v>0.2</v>
      </c>
      <c r="P24" s="50">
        <v>0.2</v>
      </c>
      <c r="Q24" s="53">
        <v>0.2</v>
      </c>
      <c r="R24" s="49">
        <v>0.1</v>
      </c>
      <c r="S24" s="50">
        <v>0.1</v>
      </c>
    </row>
    <row r="25" spans="2:28" ht="16" thickBot="1" x14ac:dyDescent="0.25">
      <c r="B25" s="103"/>
      <c r="C25" s="76"/>
      <c r="D25" s="47" t="s">
        <v>46</v>
      </c>
      <c r="E25" s="48">
        <v>0</v>
      </c>
      <c r="F25" s="49">
        <v>0</v>
      </c>
      <c r="G25" s="50">
        <v>0</v>
      </c>
      <c r="H25" s="48">
        <v>0</v>
      </c>
      <c r="I25" s="49">
        <v>0</v>
      </c>
      <c r="J25" s="50">
        <v>0</v>
      </c>
      <c r="K25" s="48">
        <v>0</v>
      </c>
      <c r="L25" s="49">
        <v>0</v>
      </c>
      <c r="M25" s="50">
        <v>0</v>
      </c>
      <c r="N25" s="48">
        <v>0</v>
      </c>
      <c r="O25" s="49">
        <v>0</v>
      </c>
      <c r="P25" s="50">
        <v>0</v>
      </c>
      <c r="Q25" s="53">
        <v>0</v>
      </c>
      <c r="R25" s="49">
        <v>0</v>
      </c>
      <c r="S25" s="50">
        <v>0</v>
      </c>
    </row>
    <row r="26" spans="2:28" x14ac:dyDescent="0.2">
      <c r="B26" s="104" t="s">
        <v>55</v>
      </c>
      <c r="C26" s="76"/>
      <c r="D26" s="54" t="s">
        <v>47</v>
      </c>
      <c r="E26" s="55">
        <v>0</v>
      </c>
      <c r="F26" s="56">
        <v>0</v>
      </c>
      <c r="G26" s="57">
        <v>0</v>
      </c>
      <c r="H26" s="55">
        <v>0</v>
      </c>
      <c r="I26" s="56">
        <v>0.1</v>
      </c>
      <c r="J26" s="57">
        <v>0.2</v>
      </c>
      <c r="K26" s="55">
        <v>0.4</v>
      </c>
      <c r="L26" s="56">
        <v>0.4</v>
      </c>
      <c r="M26" s="57">
        <v>0.6</v>
      </c>
      <c r="N26" s="55">
        <v>0.8</v>
      </c>
      <c r="O26" s="56">
        <v>1</v>
      </c>
      <c r="P26" s="57">
        <v>1.5</v>
      </c>
      <c r="Q26" s="60">
        <v>1.5</v>
      </c>
      <c r="R26" s="56">
        <v>1.5</v>
      </c>
      <c r="S26" s="57">
        <v>1.5</v>
      </c>
    </row>
    <row r="27" spans="2:28" x14ac:dyDescent="0.2">
      <c r="B27" s="105"/>
      <c r="C27" s="76"/>
      <c r="D27" s="54" t="s">
        <v>48</v>
      </c>
      <c r="E27" s="55">
        <v>0</v>
      </c>
      <c r="F27" s="56">
        <v>0</v>
      </c>
      <c r="G27" s="57">
        <v>0</v>
      </c>
      <c r="H27" s="55">
        <v>0</v>
      </c>
      <c r="I27" s="56">
        <v>0.1</v>
      </c>
      <c r="J27" s="57">
        <v>0.2</v>
      </c>
      <c r="K27" s="55">
        <v>0.4</v>
      </c>
      <c r="L27" s="56">
        <v>0.6</v>
      </c>
      <c r="M27" s="57">
        <v>0.8</v>
      </c>
      <c r="N27" s="55">
        <v>1</v>
      </c>
      <c r="O27" s="56">
        <v>1</v>
      </c>
      <c r="P27" s="57">
        <v>1</v>
      </c>
      <c r="Q27" s="60">
        <v>0.6</v>
      </c>
      <c r="R27" s="56">
        <v>0.2</v>
      </c>
      <c r="S27" s="57">
        <v>0</v>
      </c>
    </row>
    <row r="28" spans="2:28" x14ac:dyDescent="0.2">
      <c r="B28" s="105"/>
      <c r="C28" s="76"/>
      <c r="D28" s="54" t="s">
        <v>49</v>
      </c>
      <c r="E28" s="55">
        <v>0</v>
      </c>
      <c r="F28" s="56">
        <v>0</v>
      </c>
      <c r="G28" s="57">
        <v>0</v>
      </c>
      <c r="H28" s="55">
        <v>0</v>
      </c>
      <c r="I28" s="56">
        <v>0</v>
      </c>
      <c r="J28" s="57">
        <v>0</v>
      </c>
      <c r="K28" s="55">
        <v>0</v>
      </c>
      <c r="L28" s="56">
        <v>1</v>
      </c>
      <c r="M28" s="57">
        <v>1</v>
      </c>
      <c r="N28" s="55">
        <v>1.5</v>
      </c>
      <c r="O28" s="56">
        <v>3</v>
      </c>
      <c r="P28" s="57">
        <v>3.5</v>
      </c>
      <c r="Q28" s="60">
        <v>4.8</v>
      </c>
      <c r="R28" s="56">
        <v>5.3</v>
      </c>
      <c r="S28" s="57">
        <v>5.5</v>
      </c>
    </row>
    <row r="29" spans="2:28" x14ac:dyDescent="0.2">
      <c r="B29" s="105"/>
      <c r="C29" s="76"/>
      <c r="D29" s="54" t="s">
        <v>50</v>
      </c>
      <c r="E29" s="55">
        <v>0</v>
      </c>
      <c r="F29" s="56">
        <v>0</v>
      </c>
      <c r="G29" s="57">
        <v>0</v>
      </c>
      <c r="H29" s="55">
        <v>0</v>
      </c>
      <c r="I29" s="56">
        <v>0</v>
      </c>
      <c r="J29" s="57">
        <v>0</v>
      </c>
      <c r="K29" s="55">
        <v>0</v>
      </c>
      <c r="L29" s="56">
        <v>0</v>
      </c>
      <c r="M29" s="57">
        <v>0</v>
      </c>
      <c r="N29" s="55">
        <v>0</v>
      </c>
      <c r="O29" s="56">
        <v>0</v>
      </c>
      <c r="P29" s="57">
        <v>0</v>
      </c>
      <c r="Q29" s="60">
        <v>0</v>
      </c>
      <c r="R29" s="56">
        <v>0</v>
      </c>
      <c r="S29" s="57">
        <v>0</v>
      </c>
    </row>
    <row r="30" spans="2:28" ht="16" thickBot="1" x14ac:dyDescent="0.25">
      <c r="B30" s="106"/>
      <c r="C30" s="76"/>
      <c r="D30" s="61" t="s">
        <v>51</v>
      </c>
      <c r="E30" s="62">
        <v>0</v>
      </c>
      <c r="F30" s="63">
        <v>0</v>
      </c>
      <c r="G30" s="64">
        <v>0</v>
      </c>
      <c r="H30" s="62">
        <v>0</v>
      </c>
      <c r="I30" s="63">
        <v>0</v>
      </c>
      <c r="J30" s="64">
        <v>0</v>
      </c>
      <c r="K30" s="62">
        <v>0</v>
      </c>
      <c r="L30" s="63">
        <v>0</v>
      </c>
      <c r="M30" s="64">
        <v>0</v>
      </c>
      <c r="N30" s="62">
        <v>0</v>
      </c>
      <c r="O30" s="63">
        <v>0</v>
      </c>
      <c r="P30" s="64">
        <v>0</v>
      </c>
      <c r="Q30" s="66">
        <v>0</v>
      </c>
      <c r="R30" s="63">
        <v>0</v>
      </c>
      <c r="S30" s="64">
        <v>0</v>
      </c>
    </row>
    <row r="31" spans="2:28" ht="6" customHeight="1" thickBot="1" x14ac:dyDescent="0.25"/>
    <row r="32" spans="2:28" x14ac:dyDescent="0.2">
      <c r="D32" s="67" t="s">
        <v>56</v>
      </c>
      <c r="E32" s="68">
        <f>SUM(E4:E9)</f>
        <v>0.79999999999999993</v>
      </c>
      <c r="F32" s="68">
        <f t="shared" ref="F32:S32" si="0">SUM(F4:F9)</f>
        <v>1.1000000000000001</v>
      </c>
      <c r="G32" s="68">
        <f t="shared" si="0"/>
        <v>1.1000000000000001</v>
      </c>
      <c r="H32" s="68">
        <f t="shared" si="0"/>
        <v>1.1000000000000001</v>
      </c>
      <c r="I32" s="68">
        <f t="shared" si="0"/>
        <v>0</v>
      </c>
      <c r="J32" s="68">
        <f t="shared" si="0"/>
        <v>0</v>
      </c>
      <c r="K32" s="68">
        <f t="shared" si="0"/>
        <v>0</v>
      </c>
      <c r="L32" s="68">
        <f t="shared" si="0"/>
        <v>0</v>
      </c>
      <c r="M32" s="68">
        <f t="shared" si="0"/>
        <v>0</v>
      </c>
      <c r="N32" s="68">
        <f t="shared" si="0"/>
        <v>0</v>
      </c>
      <c r="O32" s="68">
        <f t="shared" si="0"/>
        <v>0</v>
      </c>
      <c r="P32" s="68">
        <f t="shared" si="0"/>
        <v>0</v>
      </c>
      <c r="Q32" s="68">
        <f t="shared" si="0"/>
        <v>0</v>
      </c>
      <c r="R32" s="68">
        <f t="shared" si="0"/>
        <v>0</v>
      </c>
      <c r="S32" s="69">
        <f t="shared" si="0"/>
        <v>0</v>
      </c>
    </row>
    <row r="33" spans="4:19" x14ac:dyDescent="0.2">
      <c r="D33" s="70" t="s">
        <v>57</v>
      </c>
      <c r="E33" s="42">
        <f>SUM(E10:E20)</f>
        <v>0</v>
      </c>
      <c r="F33" s="42">
        <f t="shared" ref="F33:S33" si="1">SUM(F10:F20)</f>
        <v>0.60000000000000009</v>
      </c>
      <c r="G33" s="42">
        <f t="shared" si="1"/>
        <v>1.4</v>
      </c>
      <c r="H33" s="42">
        <f t="shared" si="1"/>
        <v>3.6999999999999997</v>
      </c>
      <c r="I33" s="42">
        <f t="shared" si="1"/>
        <v>7.0000000000000009</v>
      </c>
      <c r="J33" s="42">
        <f t="shared" si="1"/>
        <v>8</v>
      </c>
      <c r="K33" s="42">
        <f t="shared" si="1"/>
        <v>8.4</v>
      </c>
      <c r="L33" s="42">
        <f t="shared" si="1"/>
        <v>8.2000000000000011</v>
      </c>
      <c r="M33" s="42">
        <f t="shared" si="1"/>
        <v>7.0000000000000009</v>
      </c>
      <c r="N33" s="42">
        <f t="shared" si="1"/>
        <v>5.8</v>
      </c>
      <c r="O33" s="42">
        <f t="shared" si="1"/>
        <v>3.6999999999999997</v>
      </c>
      <c r="P33" s="42">
        <f t="shared" si="1"/>
        <v>2</v>
      </c>
      <c r="Q33" s="42">
        <f t="shared" si="1"/>
        <v>0.30000000000000004</v>
      </c>
      <c r="R33" s="42">
        <f t="shared" si="1"/>
        <v>0</v>
      </c>
      <c r="S33" s="43">
        <f t="shared" si="1"/>
        <v>0</v>
      </c>
    </row>
    <row r="34" spans="4:19" x14ac:dyDescent="0.2">
      <c r="D34" s="71" t="s">
        <v>58</v>
      </c>
      <c r="E34" s="49">
        <f>SUM(E21:E25)</f>
        <v>0.4</v>
      </c>
      <c r="F34" s="49">
        <f t="shared" ref="F34:S34" si="2">SUM(F21:F25)</f>
        <v>0.4</v>
      </c>
      <c r="G34" s="49">
        <f t="shared" si="2"/>
        <v>0.8</v>
      </c>
      <c r="H34" s="49">
        <f t="shared" si="2"/>
        <v>1.7</v>
      </c>
      <c r="I34" s="49">
        <f t="shared" si="2"/>
        <v>1.7</v>
      </c>
      <c r="J34" s="49">
        <f t="shared" si="2"/>
        <v>1.7</v>
      </c>
      <c r="K34" s="49">
        <f t="shared" si="2"/>
        <v>2</v>
      </c>
      <c r="L34" s="49">
        <f t="shared" si="2"/>
        <v>2</v>
      </c>
      <c r="M34" s="49">
        <f t="shared" si="2"/>
        <v>2</v>
      </c>
      <c r="N34" s="49">
        <f t="shared" si="2"/>
        <v>1.0999999999999999</v>
      </c>
      <c r="O34" s="49">
        <f t="shared" si="2"/>
        <v>1.0999999999999999</v>
      </c>
      <c r="P34" s="49">
        <f t="shared" si="2"/>
        <v>1.0999999999999999</v>
      </c>
      <c r="Q34" s="49">
        <f t="shared" si="2"/>
        <v>0.60000000000000009</v>
      </c>
      <c r="R34" s="49">
        <f t="shared" si="2"/>
        <v>0.4</v>
      </c>
      <c r="S34" s="50">
        <f t="shared" si="2"/>
        <v>0.4</v>
      </c>
    </row>
    <row r="35" spans="4:19" ht="16" thickBot="1" x14ac:dyDescent="0.25">
      <c r="D35" s="72" t="s">
        <v>59</v>
      </c>
      <c r="E35" s="63">
        <f>SUM(E26:E30)</f>
        <v>0</v>
      </c>
      <c r="F35" s="63">
        <f t="shared" ref="F35:S35" si="3">SUM(F26:F30)</f>
        <v>0</v>
      </c>
      <c r="G35" s="63">
        <f t="shared" si="3"/>
        <v>0</v>
      </c>
      <c r="H35" s="63">
        <f t="shared" si="3"/>
        <v>0</v>
      </c>
      <c r="I35" s="63">
        <f t="shared" si="3"/>
        <v>0.2</v>
      </c>
      <c r="J35" s="63">
        <f t="shared" si="3"/>
        <v>0.4</v>
      </c>
      <c r="K35" s="63">
        <f t="shared" si="3"/>
        <v>0.8</v>
      </c>
      <c r="L35" s="63">
        <f t="shared" si="3"/>
        <v>2</v>
      </c>
      <c r="M35" s="63">
        <f t="shared" si="3"/>
        <v>2.4</v>
      </c>
      <c r="N35" s="63">
        <f t="shared" si="3"/>
        <v>3.3</v>
      </c>
      <c r="O35" s="63">
        <f t="shared" si="3"/>
        <v>5</v>
      </c>
      <c r="P35" s="63">
        <f t="shared" si="3"/>
        <v>6</v>
      </c>
      <c r="Q35" s="63">
        <f t="shared" si="3"/>
        <v>6.9</v>
      </c>
      <c r="R35" s="63">
        <f t="shared" si="3"/>
        <v>7</v>
      </c>
      <c r="S35" s="64">
        <f t="shared" si="3"/>
        <v>7</v>
      </c>
    </row>
    <row r="36" spans="4:19" ht="6" customHeight="1" thickBot="1" x14ac:dyDescent="0.25"/>
    <row r="37" spans="4:19" ht="16" thickBot="1" x14ac:dyDescent="0.25">
      <c r="D37" s="73" t="s">
        <v>60</v>
      </c>
      <c r="E37" s="74">
        <f>SUM(E4:E30)</f>
        <v>1.2</v>
      </c>
      <c r="F37" s="74">
        <f t="shared" ref="F37:S37" si="4">SUM(F4:F30)</f>
        <v>2.1</v>
      </c>
      <c r="G37" s="74">
        <f t="shared" si="4"/>
        <v>3.3000000000000012</v>
      </c>
      <c r="H37" s="74">
        <f t="shared" si="4"/>
        <v>6.5</v>
      </c>
      <c r="I37" s="74">
        <f t="shared" si="4"/>
        <v>8.8999999999999986</v>
      </c>
      <c r="J37" s="74">
        <f t="shared" si="4"/>
        <v>10.099999999999998</v>
      </c>
      <c r="K37" s="74">
        <f t="shared" si="4"/>
        <v>11.200000000000001</v>
      </c>
      <c r="L37" s="74">
        <f t="shared" si="4"/>
        <v>12.200000000000001</v>
      </c>
      <c r="M37" s="74">
        <f t="shared" si="4"/>
        <v>11.4</v>
      </c>
      <c r="N37" s="74">
        <f t="shared" si="4"/>
        <v>10.199999999999999</v>
      </c>
      <c r="O37" s="74">
        <f t="shared" si="4"/>
        <v>9.8000000000000007</v>
      </c>
      <c r="P37" s="74">
        <f t="shared" si="4"/>
        <v>9.1</v>
      </c>
      <c r="Q37" s="74">
        <f t="shared" si="4"/>
        <v>7.8</v>
      </c>
      <c r="R37" s="74">
        <f t="shared" si="4"/>
        <v>7.4</v>
      </c>
      <c r="S37" s="75">
        <f t="shared" si="4"/>
        <v>7.4</v>
      </c>
    </row>
  </sheetData>
  <mergeCells count="10">
    <mergeCell ref="B10:B20"/>
    <mergeCell ref="B21:B25"/>
    <mergeCell ref="B26:B30"/>
    <mergeCell ref="U2:AB20"/>
    <mergeCell ref="E2:G2"/>
    <mergeCell ref="H2:J2"/>
    <mergeCell ref="K2:M2"/>
    <mergeCell ref="N2:P2"/>
    <mergeCell ref="Q2:S2"/>
    <mergeCell ref="B4:B9"/>
  </mergeCells>
  <pageMargins left="0.7" right="0.7" top="0.75" bottom="0.75" header="0.3" footer="0.3"/>
  <headerFooter>
    <oddHeader>&amp;L&amp;"Aptos"&amp;12&amp;K00B294 Proprietary&amp;1#_x000D_</oddHeader>
  </headerFooter>
  <ignoredErrors>
    <ignoredError sqref="E32:S35"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04C7-4184-48B3-B4E2-3EC58756FA11}">
  <dimension ref="B1:AB37"/>
  <sheetViews>
    <sheetView zoomScaleNormal="100" workbookViewId="0">
      <selection activeCell="K44" sqref="K44"/>
    </sheetView>
  </sheetViews>
  <sheetFormatPr baseColWidth="10" defaultColWidth="8.83203125" defaultRowHeight="15" x14ac:dyDescent="0.2"/>
  <cols>
    <col min="1" max="1" width="1.6640625" customWidth="1"/>
    <col min="3" max="3" width="1.6640625" customWidth="1"/>
    <col min="4" max="4" width="30.33203125" bestFit="1" customWidth="1"/>
  </cols>
  <sheetData>
    <row r="1" spans="2:28" ht="6" customHeight="1" thickBot="1" x14ac:dyDescent="0.25"/>
    <row r="2" spans="2:28" ht="16.5" customHeight="1" thickBot="1" x14ac:dyDescent="0.25">
      <c r="E2" s="107" t="s">
        <v>0</v>
      </c>
      <c r="F2" s="108"/>
      <c r="G2" s="109"/>
      <c r="H2" s="107" t="s">
        <v>1</v>
      </c>
      <c r="I2" s="108"/>
      <c r="J2" s="119"/>
      <c r="K2" s="107" t="s">
        <v>2</v>
      </c>
      <c r="L2" s="108"/>
      <c r="M2" s="109"/>
      <c r="N2" s="110" t="s">
        <v>3</v>
      </c>
      <c r="O2" s="108"/>
      <c r="P2" s="119"/>
      <c r="Q2" s="107" t="s">
        <v>4</v>
      </c>
      <c r="R2" s="108"/>
      <c r="S2" s="109"/>
      <c r="U2" s="111" t="s">
        <v>61</v>
      </c>
      <c r="V2" s="112"/>
      <c r="W2" s="112"/>
      <c r="X2" s="112"/>
      <c r="Y2" s="112"/>
      <c r="Z2" s="112"/>
      <c r="AA2" s="112"/>
      <c r="AB2" s="113"/>
    </row>
    <row r="3" spans="2:28" ht="17" thickBot="1" x14ac:dyDescent="0.25">
      <c r="E3" s="23" t="s">
        <v>5</v>
      </c>
      <c r="F3" s="24" t="s">
        <v>6</v>
      </c>
      <c r="G3" s="25" t="s">
        <v>7</v>
      </c>
      <c r="H3" s="23" t="s">
        <v>5</v>
      </c>
      <c r="I3" s="24" t="s">
        <v>6</v>
      </c>
      <c r="J3" s="77" t="s">
        <v>7</v>
      </c>
      <c r="K3" s="23" t="s">
        <v>5</v>
      </c>
      <c r="L3" s="24" t="s">
        <v>6</v>
      </c>
      <c r="M3" s="25" t="s">
        <v>7</v>
      </c>
      <c r="N3" s="26" t="s">
        <v>5</v>
      </c>
      <c r="O3" s="24" t="s">
        <v>6</v>
      </c>
      <c r="P3" s="77" t="s">
        <v>7</v>
      </c>
      <c r="Q3" s="23" t="s">
        <v>5</v>
      </c>
      <c r="R3" s="24" t="s">
        <v>6</v>
      </c>
      <c r="S3" s="25" t="s">
        <v>7</v>
      </c>
      <c r="U3" s="114"/>
      <c r="V3" s="83"/>
      <c r="W3" s="83"/>
      <c r="X3" s="83"/>
      <c r="Y3" s="83"/>
      <c r="Z3" s="83"/>
      <c r="AA3" s="83"/>
      <c r="AB3" s="115"/>
    </row>
    <row r="4" spans="2:28" x14ac:dyDescent="0.2">
      <c r="B4" s="95" t="s">
        <v>52</v>
      </c>
      <c r="C4" s="76"/>
      <c r="D4" s="27" t="s">
        <v>25</v>
      </c>
      <c r="E4" s="28">
        <v>0.2</v>
      </c>
      <c r="F4" s="29">
        <v>0.2</v>
      </c>
      <c r="G4" s="30">
        <v>0.2</v>
      </c>
      <c r="H4" s="28">
        <v>0.2</v>
      </c>
      <c r="I4" s="29">
        <v>0</v>
      </c>
      <c r="J4" s="31">
        <v>0</v>
      </c>
      <c r="K4" s="28">
        <v>0</v>
      </c>
      <c r="L4" s="29">
        <v>0</v>
      </c>
      <c r="M4" s="30">
        <v>0</v>
      </c>
      <c r="N4" s="32">
        <v>0</v>
      </c>
      <c r="O4" s="29">
        <v>0</v>
      </c>
      <c r="P4" s="31">
        <v>0</v>
      </c>
      <c r="Q4" s="28">
        <v>0</v>
      </c>
      <c r="R4" s="29">
        <v>0</v>
      </c>
      <c r="S4" s="30">
        <v>0</v>
      </c>
      <c r="U4" s="114"/>
      <c r="V4" s="83"/>
      <c r="W4" s="83"/>
      <c r="X4" s="83"/>
      <c r="Y4" s="83"/>
      <c r="Z4" s="83"/>
      <c r="AA4" s="83"/>
      <c r="AB4" s="115"/>
    </row>
    <row r="5" spans="2:28" x14ac:dyDescent="0.2">
      <c r="B5" s="96"/>
      <c r="C5" s="76"/>
      <c r="D5" s="33" t="s">
        <v>26</v>
      </c>
      <c r="E5" s="34">
        <v>0.1</v>
      </c>
      <c r="F5" s="35">
        <v>0.2</v>
      </c>
      <c r="G5" s="36">
        <v>0.2</v>
      </c>
      <c r="H5" s="37">
        <v>0</v>
      </c>
      <c r="I5" s="35">
        <v>0</v>
      </c>
      <c r="J5" s="38">
        <v>0</v>
      </c>
      <c r="K5" s="34">
        <v>0</v>
      </c>
      <c r="L5" s="35">
        <v>0</v>
      </c>
      <c r="M5" s="36">
        <v>0</v>
      </c>
      <c r="N5" s="39">
        <v>0</v>
      </c>
      <c r="O5" s="35">
        <v>0</v>
      </c>
      <c r="P5" s="38">
        <v>0</v>
      </c>
      <c r="Q5" s="34">
        <v>0</v>
      </c>
      <c r="R5" s="35">
        <v>0</v>
      </c>
      <c r="S5" s="36">
        <v>0</v>
      </c>
      <c r="U5" s="114"/>
      <c r="V5" s="83"/>
      <c r="W5" s="83"/>
      <c r="X5" s="83"/>
      <c r="Y5" s="83"/>
      <c r="Z5" s="83"/>
      <c r="AA5" s="83"/>
      <c r="AB5" s="115"/>
    </row>
    <row r="6" spans="2:28" x14ac:dyDescent="0.2">
      <c r="B6" s="96"/>
      <c r="C6" s="76"/>
      <c r="D6" s="33" t="s">
        <v>27</v>
      </c>
      <c r="E6" s="34">
        <v>0.2</v>
      </c>
      <c r="F6" s="35">
        <v>0.2</v>
      </c>
      <c r="G6" s="36">
        <v>0.2</v>
      </c>
      <c r="H6" s="37">
        <v>0.2</v>
      </c>
      <c r="I6" s="35">
        <v>0</v>
      </c>
      <c r="J6" s="38">
        <v>0</v>
      </c>
      <c r="K6" s="34">
        <v>0</v>
      </c>
      <c r="L6" s="35">
        <v>0</v>
      </c>
      <c r="M6" s="36">
        <v>0</v>
      </c>
      <c r="N6" s="39">
        <v>0</v>
      </c>
      <c r="O6" s="35">
        <v>0</v>
      </c>
      <c r="P6" s="38">
        <v>0</v>
      </c>
      <c r="Q6" s="34">
        <v>0</v>
      </c>
      <c r="R6" s="35">
        <v>0</v>
      </c>
      <c r="S6" s="36">
        <v>0</v>
      </c>
      <c r="U6" s="114"/>
      <c r="V6" s="83"/>
      <c r="W6" s="83"/>
      <c r="X6" s="83"/>
      <c r="Y6" s="83"/>
      <c r="Z6" s="83"/>
      <c r="AA6" s="83"/>
      <c r="AB6" s="115"/>
    </row>
    <row r="7" spans="2:28" x14ac:dyDescent="0.2">
      <c r="B7" s="96"/>
      <c r="C7" s="76"/>
      <c r="D7" s="33" t="s">
        <v>28</v>
      </c>
      <c r="E7" s="34">
        <v>0.2</v>
      </c>
      <c r="F7" s="35">
        <v>0.2</v>
      </c>
      <c r="G7" s="36">
        <v>0.2</v>
      </c>
      <c r="H7" s="37">
        <v>0.2</v>
      </c>
      <c r="I7" s="35">
        <v>0</v>
      </c>
      <c r="J7" s="38">
        <v>0</v>
      </c>
      <c r="K7" s="34">
        <v>0</v>
      </c>
      <c r="L7" s="35">
        <v>0</v>
      </c>
      <c r="M7" s="36">
        <v>0</v>
      </c>
      <c r="N7" s="39">
        <v>0</v>
      </c>
      <c r="O7" s="35">
        <v>0</v>
      </c>
      <c r="P7" s="38">
        <v>0</v>
      </c>
      <c r="Q7" s="34">
        <v>0</v>
      </c>
      <c r="R7" s="35">
        <v>0</v>
      </c>
      <c r="S7" s="36">
        <v>0</v>
      </c>
      <c r="U7" s="114"/>
      <c r="V7" s="83"/>
      <c r="W7" s="83"/>
      <c r="X7" s="83"/>
      <c r="Y7" s="83"/>
      <c r="Z7" s="83"/>
      <c r="AA7" s="83"/>
      <c r="AB7" s="115"/>
    </row>
    <row r="8" spans="2:28" x14ac:dyDescent="0.2">
      <c r="B8" s="96"/>
      <c r="C8" s="76"/>
      <c r="D8" s="33" t="s">
        <v>29</v>
      </c>
      <c r="E8" s="34">
        <v>0.1</v>
      </c>
      <c r="F8" s="35">
        <v>0.1</v>
      </c>
      <c r="G8" s="36">
        <v>0.1</v>
      </c>
      <c r="H8" s="37">
        <v>0.1</v>
      </c>
      <c r="I8" s="35">
        <v>0</v>
      </c>
      <c r="J8" s="38">
        <v>0</v>
      </c>
      <c r="K8" s="34">
        <v>0</v>
      </c>
      <c r="L8" s="35">
        <v>0</v>
      </c>
      <c r="M8" s="36">
        <v>0</v>
      </c>
      <c r="N8" s="39">
        <v>0</v>
      </c>
      <c r="O8" s="35">
        <v>0</v>
      </c>
      <c r="P8" s="38">
        <v>0</v>
      </c>
      <c r="Q8" s="34">
        <v>0</v>
      </c>
      <c r="R8" s="35">
        <v>0</v>
      </c>
      <c r="S8" s="36">
        <v>0</v>
      </c>
      <c r="U8" s="114"/>
      <c r="V8" s="83"/>
      <c r="W8" s="83"/>
      <c r="X8" s="83"/>
      <c r="Y8" s="83"/>
      <c r="Z8" s="83"/>
      <c r="AA8" s="83"/>
      <c r="AB8" s="115"/>
    </row>
    <row r="9" spans="2:28" ht="16" thickBot="1" x14ac:dyDescent="0.25">
      <c r="B9" s="97"/>
      <c r="C9" s="76"/>
      <c r="D9" s="33" t="s">
        <v>30</v>
      </c>
      <c r="E9" s="34">
        <v>0</v>
      </c>
      <c r="F9" s="35">
        <v>0</v>
      </c>
      <c r="G9" s="36">
        <v>0</v>
      </c>
      <c r="H9" s="37">
        <v>0</v>
      </c>
      <c r="I9" s="35">
        <v>0</v>
      </c>
      <c r="J9" s="38">
        <v>0</v>
      </c>
      <c r="K9" s="34">
        <v>0</v>
      </c>
      <c r="L9" s="35">
        <v>0</v>
      </c>
      <c r="M9" s="36">
        <v>0</v>
      </c>
      <c r="N9" s="39">
        <v>0</v>
      </c>
      <c r="O9" s="35">
        <v>0</v>
      </c>
      <c r="P9" s="38">
        <v>0</v>
      </c>
      <c r="Q9" s="34">
        <v>0</v>
      </c>
      <c r="R9" s="35">
        <v>0</v>
      </c>
      <c r="S9" s="36">
        <v>0</v>
      </c>
      <c r="U9" s="114"/>
      <c r="V9" s="83"/>
      <c r="W9" s="83"/>
      <c r="X9" s="83"/>
      <c r="Y9" s="83"/>
      <c r="Z9" s="83"/>
      <c r="AA9" s="83"/>
      <c r="AB9" s="115"/>
    </row>
    <row r="10" spans="2:28" ht="15" customHeight="1" x14ac:dyDescent="0.2">
      <c r="B10" s="98" t="s">
        <v>53</v>
      </c>
      <c r="C10" s="76"/>
      <c r="D10" s="40" t="s">
        <v>31</v>
      </c>
      <c r="E10" s="41">
        <v>0</v>
      </c>
      <c r="F10" s="42">
        <v>0</v>
      </c>
      <c r="G10" s="43">
        <v>0.1</v>
      </c>
      <c r="H10" s="44">
        <v>0.4</v>
      </c>
      <c r="I10" s="42">
        <v>0.6</v>
      </c>
      <c r="J10" s="45">
        <v>0.8</v>
      </c>
      <c r="K10" s="41">
        <v>0.8</v>
      </c>
      <c r="L10" s="42">
        <v>0.8</v>
      </c>
      <c r="M10" s="43">
        <v>0.8</v>
      </c>
      <c r="N10" s="46">
        <v>0.8</v>
      </c>
      <c r="O10" s="42">
        <v>0.8</v>
      </c>
      <c r="P10" s="45">
        <v>0.5</v>
      </c>
      <c r="Q10" s="41">
        <v>0.1</v>
      </c>
      <c r="R10" s="42">
        <v>0</v>
      </c>
      <c r="S10" s="43">
        <v>0</v>
      </c>
      <c r="U10" s="114"/>
      <c r="V10" s="83"/>
      <c r="W10" s="83"/>
      <c r="X10" s="83"/>
      <c r="Y10" s="83"/>
      <c r="Z10" s="83"/>
      <c r="AA10" s="83"/>
      <c r="AB10" s="115"/>
    </row>
    <row r="11" spans="2:28" x14ac:dyDescent="0.2">
      <c r="B11" s="99"/>
      <c r="C11" s="76"/>
      <c r="D11" s="40" t="s">
        <v>32</v>
      </c>
      <c r="E11" s="41">
        <v>0</v>
      </c>
      <c r="F11" s="42">
        <v>0</v>
      </c>
      <c r="G11" s="43">
        <v>0</v>
      </c>
      <c r="H11" s="44">
        <v>0.2</v>
      </c>
      <c r="I11" s="42">
        <v>0.2</v>
      </c>
      <c r="J11" s="45">
        <v>0.2</v>
      </c>
      <c r="K11" s="41">
        <v>0.2</v>
      </c>
      <c r="L11" s="42">
        <v>0.2</v>
      </c>
      <c r="M11" s="43">
        <v>0.2</v>
      </c>
      <c r="N11" s="46">
        <v>0.2</v>
      </c>
      <c r="O11" s="42">
        <v>0.2</v>
      </c>
      <c r="P11" s="45">
        <v>0</v>
      </c>
      <c r="Q11" s="41">
        <v>0</v>
      </c>
      <c r="R11" s="42">
        <v>0</v>
      </c>
      <c r="S11" s="43">
        <v>0</v>
      </c>
      <c r="U11" s="114"/>
      <c r="V11" s="83"/>
      <c r="W11" s="83"/>
      <c r="X11" s="83"/>
      <c r="Y11" s="83"/>
      <c r="Z11" s="83"/>
      <c r="AA11" s="83"/>
      <c r="AB11" s="115"/>
    </row>
    <row r="12" spans="2:28" x14ac:dyDescent="0.2">
      <c r="B12" s="99"/>
      <c r="C12" s="76"/>
      <c r="D12" s="40" t="s">
        <v>33</v>
      </c>
      <c r="E12" s="41">
        <v>0</v>
      </c>
      <c r="F12" s="42">
        <v>0</v>
      </c>
      <c r="G12" s="43">
        <v>0</v>
      </c>
      <c r="H12" s="44">
        <v>0.1</v>
      </c>
      <c r="I12" s="42">
        <v>0.1</v>
      </c>
      <c r="J12" s="45">
        <v>0.1</v>
      </c>
      <c r="K12" s="41">
        <v>1</v>
      </c>
      <c r="L12" s="42">
        <v>0</v>
      </c>
      <c r="M12" s="43">
        <v>0</v>
      </c>
      <c r="N12" s="46">
        <v>0</v>
      </c>
      <c r="O12" s="42">
        <v>0</v>
      </c>
      <c r="P12" s="45">
        <v>0</v>
      </c>
      <c r="Q12" s="41">
        <v>0</v>
      </c>
      <c r="R12" s="42">
        <v>0</v>
      </c>
      <c r="S12" s="43">
        <v>0</v>
      </c>
      <c r="U12" s="114"/>
      <c r="V12" s="83"/>
      <c r="W12" s="83"/>
      <c r="X12" s="83"/>
      <c r="Y12" s="83"/>
      <c r="Z12" s="83"/>
      <c r="AA12" s="83"/>
      <c r="AB12" s="115"/>
    </row>
    <row r="13" spans="2:28" x14ac:dyDescent="0.2">
      <c r="B13" s="99"/>
      <c r="C13" s="76"/>
      <c r="D13" s="40" t="s">
        <v>34</v>
      </c>
      <c r="E13" s="41">
        <v>0</v>
      </c>
      <c r="F13" s="42">
        <v>0</v>
      </c>
      <c r="G13" s="43">
        <v>0</v>
      </c>
      <c r="H13" s="44">
        <v>0</v>
      </c>
      <c r="I13" s="42">
        <v>0</v>
      </c>
      <c r="J13" s="45">
        <v>0</v>
      </c>
      <c r="K13" s="41">
        <v>0</v>
      </c>
      <c r="L13" s="42">
        <v>0</v>
      </c>
      <c r="M13" s="43">
        <v>0</v>
      </c>
      <c r="N13" s="46">
        <v>0</v>
      </c>
      <c r="O13" s="42">
        <v>0</v>
      </c>
      <c r="P13" s="45">
        <v>0</v>
      </c>
      <c r="Q13" s="41">
        <v>0</v>
      </c>
      <c r="R13" s="42">
        <v>0</v>
      </c>
      <c r="S13" s="43">
        <v>0</v>
      </c>
      <c r="U13" s="114"/>
      <c r="V13" s="83"/>
      <c r="W13" s="83"/>
      <c r="X13" s="83"/>
      <c r="Y13" s="83"/>
      <c r="Z13" s="83"/>
      <c r="AA13" s="83"/>
      <c r="AB13" s="115"/>
    </row>
    <row r="14" spans="2:28" x14ac:dyDescent="0.2">
      <c r="B14" s="99"/>
      <c r="C14" s="76"/>
      <c r="D14" s="40" t="s">
        <v>35</v>
      </c>
      <c r="E14" s="41">
        <v>0</v>
      </c>
      <c r="F14" s="42">
        <v>0</v>
      </c>
      <c r="G14" s="43">
        <v>0</v>
      </c>
      <c r="H14" s="44">
        <v>0.2</v>
      </c>
      <c r="I14" s="42">
        <v>0.2</v>
      </c>
      <c r="J14" s="45">
        <v>0.4</v>
      </c>
      <c r="K14" s="41">
        <v>0.4</v>
      </c>
      <c r="L14" s="42">
        <v>0.4</v>
      </c>
      <c r="M14" s="43">
        <v>0.4</v>
      </c>
      <c r="N14" s="46">
        <v>0.2</v>
      </c>
      <c r="O14" s="42">
        <v>0.2</v>
      </c>
      <c r="P14" s="45">
        <v>0</v>
      </c>
      <c r="Q14" s="41">
        <v>0</v>
      </c>
      <c r="R14" s="42">
        <v>0</v>
      </c>
      <c r="S14" s="43">
        <v>0</v>
      </c>
      <c r="U14" s="114"/>
      <c r="V14" s="83"/>
      <c r="W14" s="83"/>
      <c r="X14" s="83"/>
      <c r="Y14" s="83"/>
      <c r="Z14" s="83"/>
      <c r="AA14" s="83"/>
      <c r="AB14" s="115"/>
    </row>
    <row r="15" spans="2:28" x14ac:dyDescent="0.2">
      <c r="B15" s="99"/>
      <c r="C15" s="76"/>
      <c r="D15" s="40" t="s">
        <v>36</v>
      </c>
      <c r="E15" s="41">
        <v>0</v>
      </c>
      <c r="F15" s="42">
        <v>0</v>
      </c>
      <c r="G15" s="43">
        <v>0</v>
      </c>
      <c r="H15" s="44">
        <v>0.1</v>
      </c>
      <c r="I15" s="42">
        <v>0.1</v>
      </c>
      <c r="J15" s="45">
        <v>0.1</v>
      </c>
      <c r="K15" s="41">
        <v>0.1</v>
      </c>
      <c r="L15" s="42">
        <v>0.1</v>
      </c>
      <c r="M15" s="43">
        <v>0.1</v>
      </c>
      <c r="N15" s="46">
        <v>0.1</v>
      </c>
      <c r="O15" s="42">
        <v>0</v>
      </c>
      <c r="P15" s="45">
        <v>0</v>
      </c>
      <c r="Q15" s="41">
        <v>0</v>
      </c>
      <c r="R15" s="42">
        <v>0</v>
      </c>
      <c r="S15" s="43">
        <v>0</v>
      </c>
      <c r="U15" s="114"/>
      <c r="V15" s="83"/>
      <c r="W15" s="83"/>
      <c r="X15" s="83"/>
      <c r="Y15" s="83"/>
      <c r="Z15" s="83"/>
      <c r="AA15" s="83"/>
      <c r="AB15" s="115"/>
    </row>
    <row r="16" spans="2:28" x14ac:dyDescent="0.2">
      <c r="B16" s="99"/>
      <c r="C16" s="76"/>
      <c r="D16" s="40" t="s">
        <v>37</v>
      </c>
      <c r="E16" s="41">
        <v>0</v>
      </c>
      <c r="F16" s="42">
        <v>0.2</v>
      </c>
      <c r="G16" s="43">
        <v>0.4</v>
      </c>
      <c r="H16" s="44">
        <v>0.4</v>
      </c>
      <c r="I16" s="42">
        <v>0.4</v>
      </c>
      <c r="J16" s="45">
        <v>0.4</v>
      </c>
      <c r="K16" s="41">
        <v>0.2</v>
      </c>
      <c r="L16" s="42">
        <v>0.2</v>
      </c>
      <c r="M16" s="43">
        <v>0.1</v>
      </c>
      <c r="N16" s="46">
        <v>0.1</v>
      </c>
      <c r="O16" s="42">
        <v>0</v>
      </c>
      <c r="P16" s="45">
        <v>0</v>
      </c>
      <c r="Q16" s="41">
        <v>0</v>
      </c>
      <c r="R16" s="42">
        <v>0</v>
      </c>
      <c r="S16" s="43">
        <v>0</v>
      </c>
      <c r="U16" s="114"/>
      <c r="V16" s="83"/>
      <c r="W16" s="83"/>
      <c r="X16" s="83"/>
      <c r="Y16" s="83"/>
      <c r="Z16" s="83"/>
      <c r="AA16" s="83"/>
      <c r="AB16" s="115"/>
    </row>
    <row r="17" spans="2:28" x14ac:dyDescent="0.2">
      <c r="B17" s="99"/>
      <c r="C17" s="76"/>
      <c r="D17" s="40" t="s">
        <v>38</v>
      </c>
      <c r="E17" s="41">
        <v>0</v>
      </c>
      <c r="F17" s="42">
        <v>0</v>
      </c>
      <c r="G17" s="43">
        <v>0</v>
      </c>
      <c r="H17" s="44">
        <v>0.2</v>
      </c>
      <c r="I17" s="42">
        <v>0.4</v>
      </c>
      <c r="J17" s="45">
        <v>0.6</v>
      </c>
      <c r="K17" s="41">
        <v>0.8</v>
      </c>
      <c r="L17" s="42">
        <v>1</v>
      </c>
      <c r="M17" s="43">
        <v>0.8</v>
      </c>
      <c r="N17" s="46">
        <v>0.6</v>
      </c>
      <c r="O17" s="42">
        <v>0.4</v>
      </c>
      <c r="P17" s="45">
        <v>0.2</v>
      </c>
      <c r="Q17" s="41">
        <v>0</v>
      </c>
      <c r="R17" s="42">
        <v>0</v>
      </c>
      <c r="S17" s="43">
        <v>0</v>
      </c>
      <c r="U17" s="114"/>
      <c r="V17" s="83"/>
      <c r="W17" s="83"/>
      <c r="X17" s="83"/>
      <c r="Y17" s="83"/>
      <c r="Z17" s="83"/>
      <c r="AA17" s="83"/>
      <c r="AB17" s="115"/>
    </row>
    <row r="18" spans="2:28" x14ac:dyDescent="0.2">
      <c r="B18" s="99"/>
      <c r="C18" s="76"/>
      <c r="D18" s="40" t="s">
        <v>39</v>
      </c>
      <c r="E18" s="41">
        <v>0</v>
      </c>
      <c r="F18" s="42">
        <v>0.2</v>
      </c>
      <c r="G18" s="43">
        <v>0</v>
      </c>
      <c r="H18" s="44">
        <v>0.6</v>
      </c>
      <c r="I18" s="42">
        <v>1</v>
      </c>
      <c r="J18" s="45">
        <v>1</v>
      </c>
      <c r="K18" s="41">
        <v>1</v>
      </c>
      <c r="L18" s="42">
        <v>1</v>
      </c>
      <c r="M18" s="43">
        <v>1</v>
      </c>
      <c r="N18" s="46">
        <v>0.6</v>
      </c>
      <c r="O18" s="42">
        <v>0.4</v>
      </c>
      <c r="P18" s="45">
        <v>0.2</v>
      </c>
      <c r="Q18" s="41">
        <v>0</v>
      </c>
      <c r="R18" s="42">
        <v>0</v>
      </c>
      <c r="S18" s="43">
        <v>0</v>
      </c>
      <c r="U18" s="114"/>
      <c r="V18" s="83"/>
      <c r="W18" s="83"/>
      <c r="X18" s="83"/>
      <c r="Y18" s="83"/>
      <c r="Z18" s="83"/>
      <c r="AA18" s="83"/>
      <c r="AB18" s="115"/>
    </row>
    <row r="19" spans="2:28" x14ac:dyDescent="0.2">
      <c r="B19" s="99"/>
      <c r="C19" s="76"/>
      <c r="D19" s="40" t="s">
        <v>40</v>
      </c>
      <c r="E19" s="41">
        <v>0</v>
      </c>
      <c r="F19" s="42">
        <v>0</v>
      </c>
      <c r="G19" s="43">
        <v>0</v>
      </c>
      <c r="H19" s="44">
        <v>0.1</v>
      </c>
      <c r="I19" s="42">
        <v>0.1</v>
      </c>
      <c r="J19" s="45">
        <v>0.1</v>
      </c>
      <c r="K19" s="41">
        <v>0.1</v>
      </c>
      <c r="L19" s="42">
        <v>0.1</v>
      </c>
      <c r="M19" s="43">
        <v>0.1</v>
      </c>
      <c r="N19" s="46">
        <v>0.1</v>
      </c>
      <c r="O19" s="42">
        <v>0.1</v>
      </c>
      <c r="P19" s="45">
        <v>0.1</v>
      </c>
      <c r="Q19" s="41">
        <v>0</v>
      </c>
      <c r="R19" s="42">
        <v>0</v>
      </c>
      <c r="S19" s="43">
        <v>0</v>
      </c>
      <c r="U19" s="114"/>
      <c r="V19" s="83"/>
      <c r="W19" s="83"/>
      <c r="X19" s="83"/>
      <c r="Y19" s="83"/>
      <c r="Z19" s="83"/>
      <c r="AA19" s="83"/>
      <c r="AB19" s="115"/>
    </row>
    <row r="20" spans="2:28" ht="16" thickBot="1" x14ac:dyDescent="0.25">
      <c r="B20" s="100"/>
      <c r="C20" s="76"/>
      <c r="D20" s="40" t="s">
        <v>41</v>
      </c>
      <c r="E20" s="41">
        <v>0</v>
      </c>
      <c r="F20" s="42">
        <v>0</v>
      </c>
      <c r="G20" s="43">
        <v>0</v>
      </c>
      <c r="H20" s="44">
        <v>0</v>
      </c>
      <c r="I20" s="42">
        <v>0</v>
      </c>
      <c r="J20" s="45">
        <v>0</v>
      </c>
      <c r="K20" s="41">
        <v>0</v>
      </c>
      <c r="L20" s="42">
        <v>0</v>
      </c>
      <c r="M20" s="43">
        <v>0</v>
      </c>
      <c r="N20" s="46">
        <v>0</v>
      </c>
      <c r="O20" s="42">
        <v>0</v>
      </c>
      <c r="P20" s="45">
        <v>0</v>
      </c>
      <c r="Q20" s="41">
        <v>0</v>
      </c>
      <c r="R20" s="42">
        <v>0</v>
      </c>
      <c r="S20" s="43">
        <v>0</v>
      </c>
      <c r="U20" s="116"/>
      <c r="V20" s="117"/>
      <c r="W20" s="117"/>
      <c r="X20" s="117"/>
      <c r="Y20" s="117"/>
      <c r="Z20" s="117"/>
      <c r="AA20" s="117"/>
      <c r="AB20" s="118"/>
    </row>
    <row r="21" spans="2:28" x14ac:dyDescent="0.2">
      <c r="B21" s="101" t="s">
        <v>54</v>
      </c>
      <c r="C21" s="76"/>
      <c r="D21" s="47" t="s">
        <v>42</v>
      </c>
      <c r="E21" s="48">
        <v>0.2</v>
      </c>
      <c r="F21" s="49">
        <v>0.2</v>
      </c>
      <c r="G21" s="50">
        <v>0.2</v>
      </c>
      <c r="H21" s="51">
        <v>0.5</v>
      </c>
      <c r="I21" s="49">
        <v>0.5</v>
      </c>
      <c r="J21" s="52">
        <v>0.5</v>
      </c>
      <c r="K21" s="48">
        <v>0.5</v>
      </c>
      <c r="L21" s="49">
        <v>0.5</v>
      </c>
      <c r="M21" s="50">
        <v>0.5</v>
      </c>
      <c r="N21" s="53">
        <v>0.1</v>
      </c>
      <c r="O21" s="49">
        <v>0.1</v>
      </c>
      <c r="P21" s="52">
        <v>0.1</v>
      </c>
      <c r="Q21" s="48">
        <v>0.1</v>
      </c>
      <c r="R21" s="49">
        <v>0.1</v>
      </c>
      <c r="S21" s="50">
        <v>0.1</v>
      </c>
    </row>
    <row r="22" spans="2:28" x14ac:dyDescent="0.2">
      <c r="B22" s="102"/>
      <c r="C22" s="76"/>
      <c r="D22" s="47" t="s">
        <v>43</v>
      </c>
      <c r="E22" s="48">
        <v>0</v>
      </c>
      <c r="F22" s="49">
        <v>0</v>
      </c>
      <c r="G22" s="50">
        <v>0.2</v>
      </c>
      <c r="H22" s="51">
        <v>0.5</v>
      </c>
      <c r="I22" s="49">
        <v>0.5</v>
      </c>
      <c r="J22" s="52">
        <v>0.5</v>
      </c>
      <c r="K22" s="48">
        <v>0.5</v>
      </c>
      <c r="L22" s="49">
        <v>0.5</v>
      </c>
      <c r="M22" s="50">
        <v>0.5</v>
      </c>
      <c r="N22" s="53">
        <v>0.5</v>
      </c>
      <c r="O22" s="49">
        <v>0.5</v>
      </c>
      <c r="P22" s="52">
        <v>0.5</v>
      </c>
      <c r="Q22" s="48">
        <v>0.1</v>
      </c>
      <c r="R22" s="49">
        <v>0.1</v>
      </c>
      <c r="S22" s="50">
        <v>0.1</v>
      </c>
    </row>
    <row r="23" spans="2:28" x14ac:dyDescent="0.2">
      <c r="B23" s="102"/>
      <c r="C23" s="76"/>
      <c r="D23" s="47" t="s">
        <v>44</v>
      </c>
      <c r="E23" s="48">
        <v>0.2</v>
      </c>
      <c r="F23" s="49">
        <v>0.2</v>
      </c>
      <c r="G23" s="50">
        <v>0.2</v>
      </c>
      <c r="H23" s="51">
        <v>0.5</v>
      </c>
      <c r="I23" s="49">
        <v>0.5</v>
      </c>
      <c r="J23" s="52">
        <v>0.5</v>
      </c>
      <c r="K23" s="48">
        <v>0.5</v>
      </c>
      <c r="L23" s="49">
        <v>0.5</v>
      </c>
      <c r="M23" s="50">
        <v>0.5</v>
      </c>
      <c r="N23" s="53">
        <v>0.3</v>
      </c>
      <c r="O23" s="49">
        <v>0.3</v>
      </c>
      <c r="P23" s="52">
        <v>0.3</v>
      </c>
      <c r="Q23" s="48">
        <v>0.2</v>
      </c>
      <c r="R23" s="49">
        <v>0.1</v>
      </c>
      <c r="S23" s="50">
        <v>0.1</v>
      </c>
    </row>
    <row r="24" spans="2:28" x14ac:dyDescent="0.2">
      <c r="B24" s="102"/>
      <c r="C24" s="76"/>
      <c r="D24" s="47" t="s">
        <v>45</v>
      </c>
      <c r="E24" s="48">
        <v>0</v>
      </c>
      <c r="F24" s="49">
        <v>0</v>
      </c>
      <c r="G24" s="50">
        <v>0.2</v>
      </c>
      <c r="H24" s="52">
        <v>0.2</v>
      </c>
      <c r="I24" s="49">
        <v>0.2</v>
      </c>
      <c r="J24" s="52">
        <v>0.2</v>
      </c>
      <c r="K24" s="48">
        <v>0.5</v>
      </c>
      <c r="L24" s="49">
        <v>0.5</v>
      </c>
      <c r="M24" s="50">
        <v>0.5</v>
      </c>
      <c r="N24" s="53">
        <v>0.2</v>
      </c>
      <c r="O24" s="49">
        <v>0.2</v>
      </c>
      <c r="P24" s="52">
        <v>0.2</v>
      </c>
      <c r="Q24" s="48">
        <v>0.2</v>
      </c>
      <c r="R24" s="49">
        <v>0.1</v>
      </c>
      <c r="S24" s="50">
        <v>0.1</v>
      </c>
    </row>
    <row r="25" spans="2:28" ht="16" thickBot="1" x14ac:dyDescent="0.25">
      <c r="B25" s="103"/>
      <c r="C25" s="76"/>
      <c r="D25" s="47" t="s">
        <v>46</v>
      </c>
      <c r="E25" s="48">
        <v>0</v>
      </c>
      <c r="F25" s="49">
        <v>0</v>
      </c>
      <c r="G25" s="50">
        <v>0</v>
      </c>
      <c r="H25" s="51">
        <v>0</v>
      </c>
      <c r="I25" s="49">
        <v>0</v>
      </c>
      <c r="J25" s="52">
        <v>0</v>
      </c>
      <c r="K25" s="48">
        <v>0</v>
      </c>
      <c r="L25" s="49">
        <v>0</v>
      </c>
      <c r="M25" s="50">
        <v>0</v>
      </c>
      <c r="N25" s="53">
        <v>0</v>
      </c>
      <c r="O25" s="49">
        <v>0</v>
      </c>
      <c r="P25" s="52">
        <v>0</v>
      </c>
      <c r="Q25" s="48">
        <v>0</v>
      </c>
      <c r="R25" s="49">
        <v>0</v>
      </c>
      <c r="S25" s="50">
        <v>0</v>
      </c>
    </row>
    <row r="26" spans="2:28" x14ac:dyDescent="0.2">
      <c r="B26" s="104" t="s">
        <v>55</v>
      </c>
      <c r="C26" s="76"/>
      <c r="D26" s="54" t="s">
        <v>47</v>
      </c>
      <c r="E26" s="55">
        <v>0</v>
      </c>
      <c r="F26" s="56">
        <v>0</v>
      </c>
      <c r="G26" s="57">
        <v>0</v>
      </c>
      <c r="H26" s="58">
        <v>0</v>
      </c>
      <c r="I26" s="56">
        <v>0</v>
      </c>
      <c r="J26" s="59">
        <v>0</v>
      </c>
      <c r="K26" s="55">
        <v>0</v>
      </c>
      <c r="L26" s="56">
        <v>0</v>
      </c>
      <c r="M26" s="57">
        <v>0</v>
      </c>
      <c r="N26" s="60">
        <v>0</v>
      </c>
      <c r="O26" s="56">
        <v>0</v>
      </c>
      <c r="P26" s="59">
        <v>0</v>
      </c>
      <c r="Q26" s="55">
        <v>0</v>
      </c>
      <c r="R26" s="56">
        <v>0</v>
      </c>
      <c r="S26" s="57">
        <v>0</v>
      </c>
    </row>
    <row r="27" spans="2:28" x14ac:dyDescent="0.2">
      <c r="B27" s="105"/>
      <c r="C27" s="76"/>
      <c r="D27" s="54" t="s">
        <v>48</v>
      </c>
      <c r="E27" s="55">
        <v>0</v>
      </c>
      <c r="F27" s="56">
        <v>0</v>
      </c>
      <c r="G27" s="57">
        <v>0</v>
      </c>
      <c r="H27" s="58">
        <v>0</v>
      </c>
      <c r="I27" s="56">
        <v>0.1</v>
      </c>
      <c r="J27" s="59">
        <v>0.2</v>
      </c>
      <c r="K27" s="55">
        <v>1.5</v>
      </c>
      <c r="L27" s="56">
        <v>1.5</v>
      </c>
      <c r="M27" s="57">
        <v>1.5</v>
      </c>
      <c r="N27" s="60">
        <v>2</v>
      </c>
      <c r="O27" s="56">
        <v>2</v>
      </c>
      <c r="P27" s="59">
        <v>2</v>
      </c>
      <c r="Q27" s="55">
        <v>3</v>
      </c>
      <c r="R27" s="56">
        <v>3</v>
      </c>
      <c r="S27" s="57">
        <v>3</v>
      </c>
    </row>
    <row r="28" spans="2:28" x14ac:dyDescent="0.2">
      <c r="B28" s="105"/>
      <c r="C28" s="76"/>
      <c r="D28" s="54" t="s">
        <v>49</v>
      </c>
      <c r="E28" s="55">
        <v>0</v>
      </c>
      <c r="F28" s="56">
        <v>0</v>
      </c>
      <c r="G28" s="57">
        <v>0</v>
      </c>
      <c r="H28" s="58">
        <v>0</v>
      </c>
      <c r="I28" s="56">
        <v>0</v>
      </c>
      <c r="J28" s="59">
        <v>0</v>
      </c>
      <c r="K28" s="55">
        <v>0</v>
      </c>
      <c r="L28" s="56">
        <v>0</v>
      </c>
      <c r="M28" s="57">
        <v>0</v>
      </c>
      <c r="N28" s="60">
        <v>0</v>
      </c>
      <c r="O28" s="56">
        <v>0</v>
      </c>
      <c r="P28" s="59">
        <v>0</v>
      </c>
      <c r="Q28" s="55">
        <v>0</v>
      </c>
      <c r="R28" s="56">
        <v>0</v>
      </c>
      <c r="S28" s="57">
        <v>0</v>
      </c>
    </row>
    <row r="29" spans="2:28" x14ac:dyDescent="0.2">
      <c r="B29" s="105"/>
      <c r="C29" s="76"/>
      <c r="D29" s="54" t="s">
        <v>50</v>
      </c>
      <c r="E29" s="55">
        <v>0</v>
      </c>
      <c r="F29" s="56">
        <v>0</v>
      </c>
      <c r="G29" s="57">
        <v>0</v>
      </c>
      <c r="H29" s="58">
        <v>0</v>
      </c>
      <c r="I29" s="56">
        <v>0</v>
      </c>
      <c r="J29" s="59">
        <v>0</v>
      </c>
      <c r="K29" s="55">
        <v>0</v>
      </c>
      <c r="L29" s="56">
        <v>0</v>
      </c>
      <c r="M29" s="57">
        <v>0</v>
      </c>
      <c r="N29" s="60">
        <v>0</v>
      </c>
      <c r="O29" s="56">
        <v>0</v>
      </c>
      <c r="P29" s="59">
        <v>0</v>
      </c>
      <c r="Q29" s="55">
        <v>0</v>
      </c>
      <c r="R29" s="56">
        <v>0</v>
      </c>
      <c r="S29" s="57">
        <v>0</v>
      </c>
    </row>
    <row r="30" spans="2:28" ht="16" thickBot="1" x14ac:dyDescent="0.25">
      <c r="B30" s="106"/>
      <c r="C30" s="76"/>
      <c r="D30" s="61" t="s">
        <v>51</v>
      </c>
      <c r="E30" s="62">
        <v>0</v>
      </c>
      <c r="F30" s="63">
        <v>0</v>
      </c>
      <c r="G30" s="64">
        <v>0</v>
      </c>
      <c r="H30" s="62">
        <v>0</v>
      </c>
      <c r="I30" s="63">
        <v>0</v>
      </c>
      <c r="J30" s="65">
        <v>0</v>
      </c>
      <c r="K30" s="62">
        <v>0</v>
      </c>
      <c r="L30" s="63">
        <v>0</v>
      </c>
      <c r="M30" s="64">
        <v>0</v>
      </c>
      <c r="N30" s="66">
        <v>0</v>
      </c>
      <c r="O30" s="63">
        <v>0</v>
      </c>
      <c r="P30" s="65">
        <v>0</v>
      </c>
      <c r="Q30" s="62">
        <v>0</v>
      </c>
      <c r="R30" s="63">
        <v>0</v>
      </c>
      <c r="S30" s="64">
        <v>0</v>
      </c>
    </row>
    <row r="31" spans="2:28" ht="6" customHeight="1" thickBot="1" x14ac:dyDescent="0.25"/>
    <row r="32" spans="2:28" x14ac:dyDescent="0.2">
      <c r="D32" s="67" t="s">
        <v>56</v>
      </c>
      <c r="E32" s="68">
        <f>SUM(E4:E9)</f>
        <v>0.79999999999999993</v>
      </c>
      <c r="F32" s="68">
        <f t="shared" ref="F32:S32" si="0">SUM(F4:F9)</f>
        <v>0.9</v>
      </c>
      <c r="G32" s="68">
        <f t="shared" si="0"/>
        <v>0.9</v>
      </c>
      <c r="H32" s="68">
        <f t="shared" si="0"/>
        <v>0.70000000000000007</v>
      </c>
      <c r="I32" s="68">
        <f t="shared" si="0"/>
        <v>0</v>
      </c>
      <c r="J32" s="68">
        <f t="shared" si="0"/>
        <v>0</v>
      </c>
      <c r="K32" s="68">
        <f t="shared" si="0"/>
        <v>0</v>
      </c>
      <c r="L32" s="68">
        <f t="shared" si="0"/>
        <v>0</v>
      </c>
      <c r="M32" s="68">
        <f t="shared" si="0"/>
        <v>0</v>
      </c>
      <c r="N32" s="68">
        <f t="shared" si="0"/>
        <v>0</v>
      </c>
      <c r="O32" s="68">
        <f t="shared" si="0"/>
        <v>0</v>
      </c>
      <c r="P32" s="68">
        <f t="shared" si="0"/>
        <v>0</v>
      </c>
      <c r="Q32" s="68">
        <f t="shared" si="0"/>
        <v>0</v>
      </c>
      <c r="R32" s="68">
        <f t="shared" si="0"/>
        <v>0</v>
      </c>
      <c r="S32" s="69">
        <f t="shared" si="0"/>
        <v>0</v>
      </c>
    </row>
    <row r="33" spans="4:19" x14ac:dyDescent="0.2">
      <c r="D33" s="70" t="s">
        <v>57</v>
      </c>
      <c r="E33" s="42">
        <f>SUM(E10:E20)</f>
        <v>0</v>
      </c>
      <c r="F33" s="42">
        <f t="shared" ref="F33:S33" si="1">SUM(F10:F20)</f>
        <v>0.4</v>
      </c>
      <c r="G33" s="42">
        <f t="shared" si="1"/>
        <v>0.5</v>
      </c>
      <c r="H33" s="42">
        <f t="shared" si="1"/>
        <v>2.3000000000000003</v>
      </c>
      <c r="I33" s="42">
        <f t="shared" si="1"/>
        <v>3.1</v>
      </c>
      <c r="J33" s="42">
        <f t="shared" si="1"/>
        <v>3.7</v>
      </c>
      <c r="K33" s="42">
        <f t="shared" si="1"/>
        <v>4.5999999999999996</v>
      </c>
      <c r="L33" s="42">
        <f t="shared" si="1"/>
        <v>3.8000000000000003</v>
      </c>
      <c r="M33" s="42">
        <f t="shared" si="1"/>
        <v>3.5000000000000004</v>
      </c>
      <c r="N33" s="42">
        <f t="shared" si="1"/>
        <v>2.7</v>
      </c>
      <c r="O33" s="42">
        <f t="shared" si="1"/>
        <v>2.1</v>
      </c>
      <c r="P33" s="42">
        <f t="shared" si="1"/>
        <v>0.99999999999999989</v>
      </c>
      <c r="Q33" s="42">
        <f t="shared" si="1"/>
        <v>0.1</v>
      </c>
      <c r="R33" s="42">
        <f t="shared" si="1"/>
        <v>0</v>
      </c>
      <c r="S33" s="43">
        <f t="shared" si="1"/>
        <v>0</v>
      </c>
    </row>
    <row r="34" spans="4:19" x14ac:dyDescent="0.2">
      <c r="D34" s="71" t="s">
        <v>58</v>
      </c>
      <c r="E34" s="49">
        <f>SUM(E21:E25)</f>
        <v>0.4</v>
      </c>
      <c r="F34" s="49">
        <f t="shared" ref="F34:S34" si="2">SUM(F21:F25)</f>
        <v>0.4</v>
      </c>
      <c r="G34" s="49">
        <f t="shared" si="2"/>
        <v>0.8</v>
      </c>
      <c r="H34" s="49">
        <f t="shared" si="2"/>
        <v>1.7</v>
      </c>
      <c r="I34" s="49">
        <f t="shared" si="2"/>
        <v>1.7</v>
      </c>
      <c r="J34" s="49">
        <f t="shared" si="2"/>
        <v>1.7</v>
      </c>
      <c r="K34" s="49">
        <f t="shared" si="2"/>
        <v>2</v>
      </c>
      <c r="L34" s="49">
        <f t="shared" si="2"/>
        <v>2</v>
      </c>
      <c r="M34" s="49">
        <f t="shared" si="2"/>
        <v>2</v>
      </c>
      <c r="N34" s="49">
        <f t="shared" si="2"/>
        <v>1.0999999999999999</v>
      </c>
      <c r="O34" s="49">
        <f t="shared" si="2"/>
        <v>1.0999999999999999</v>
      </c>
      <c r="P34" s="49">
        <f t="shared" si="2"/>
        <v>1.0999999999999999</v>
      </c>
      <c r="Q34" s="49">
        <f t="shared" si="2"/>
        <v>0.60000000000000009</v>
      </c>
      <c r="R34" s="49">
        <f t="shared" si="2"/>
        <v>0.4</v>
      </c>
      <c r="S34" s="50">
        <f t="shared" si="2"/>
        <v>0.4</v>
      </c>
    </row>
    <row r="35" spans="4:19" ht="16" thickBot="1" x14ac:dyDescent="0.25">
      <c r="D35" s="72" t="s">
        <v>59</v>
      </c>
      <c r="E35" s="63">
        <f>SUM(E26:E30)</f>
        <v>0</v>
      </c>
      <c r="F35" s="63">
        <f t="shared" ref="F35:S35" si="3">SUM(F26:F30)</f>
        <v>0</v>
      </c>
      <c r="G35" s="63">
        <f t="shared" si="3"/>
        <v>0</v>
      </c>
      <c r="H35" s="63">
        <f t="shared" si="3"/>
        <v>0</v>
      </c>
      <c r="I35" s="63">
        <f t="shared" si="3"/>
        <v>0.1</v>
      </c>
      <c r="J35" s="63">
        <f t="shared" si="3"/>
        <v>0.2</v>
      </c>
      <c r="K35" s="63">
        <f t="shared" si="3"/>
        <v>1.5</v>
      </c>
      <c r="L35" s="63">
        <f t="shared" si="3"/>
        <v>1.5</v>
      </c>
      <c r="M35" s="63">
        <f t="shared" si="3"/>
        <v>1.5</v>
      </c>
      <c r="N35" s="63">
        <f t="shared" si="3"/>
        <v>2</v>
      </c>
      <c r="O35" s="63">
        <f t="shared" si="3"/>
        <v>2</v>
      </c>
      <c r="P35" s="63">
        <f t="shared" si="3"/>
        <v>2</v>
      </c>
      <c r="Q35" s="63">
        <f t="shared" si="3"/>
        <v>3</v>
      </c>
      <c r="R35" s="63">
        <f t="shared" si="3"/>
        <v>3</v>
      </c>
      <c r="S35" s="64">
        <f t="shared" si="3"/>
        <v>3</v>
      </c>
    </row>
    <row r="36" spans="4:19" ht="6" customHeight="1" thickBot="1" x14ac:dyDescent="0.25"/>
    <row r="37" spans="4:19" ht="16" thickBot="1" x14ac:dyDescent="0.25">
      <c r="D37" s="73" t="s">
        <v>60</v>
      </c>
      <c r="E37" s="74">
        <f>SUM(E4:E30)</f>
        <v>1.2</v>
      </c>
      <c r="F37" s="74">
        <f t="shared" ref="F37:S37" si="4">SUM(F4:F30)</f>
        <v>1.7</v>
      </c>
      <c r="G37" s="74">
        <f t="shared" si="4"/>
        <v>2.1999999999999997</v>
      </c>
      <c r="H37" s="74">
        <f t="shared" si="4"/>
        <v>4.7</v>
      </c>
      <c r="I37" s="74">
        <f t="shared" si="4"/>
        <v>4.8999999999999995</v>
      </c>
      <c r="J37" s="74">
        <f t="shared" si="4"/>
        <v>5.6000000000000005</v>
      </c>
      <c r="K37" s="74">
        <f t="shared" si="4"/>
        <v>8.1</v>
      </c>
      <c r="L37" s="74">
        <f t="shared" si="4"/>
        <v>7.3000000000000007</v>
      </c>
      <c r="M37" s="74">
        <f t="shared" si="4"/>
        <v>7</v>
      </c>
      <c r="N37" s="74">
        <f t="shared" si="4"/>
        <v>5.8000000000000007</v>
      </c>
      <c r="O37" s="74">
        <f t="shared" si="4"/>
        <v>5.2</v>
      </c>
      <c r="P37" s="74">
        <f t="shared" si="4"/>
        <v>4.0999999999999996</v>
      </c>
      <c r="Q37" s="74">
        <f t="shared" si="4"/>
        <v>3.7</v>
      </c>
      <c r="R37" s="74">
        <f t="shared" si="4"/>
        <v>3.4</v>
      </c>
      <c r="S37" s="75">
        <f t="shared" si="4"/>
        <v>3.4</v>
      </c>
    </row>
  </sheetData>
  <mergeCells count="10">
    <mergeCell ref="B10:B20"/>
    <mergeCell ref="B21:B25"/>
    <mergeCell ref="B26:B30"/>
    <mergeCell ref="U2:AB20"/>
    <mergeCell ref="E2:G2"/>
    <mergeCell ref="H2:J2"/>
    <mergeCell ref="K2:M2"/>
    <mergeCell ref="N2:P2"/>
    <mergeCell ref="Q2:S2"/>
    <mergeCell ref="B4:B9"/>
  </mergeCells>
  <pageMargins left="0.7" right="0.7" top="0.75" bottom="0.75" header="0.3" footer="0.3"/>
  <ignoredErrors>
    <ignoredError sqref="E32:S3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D961-1483-4646-A394-B90D7573622D}">
  <dimension ref="B1:AB37"/>
  <sheetViews>
    <sheetView zoomScaleNormal="100" workbookViewId="0">
      <selection activeCell="I19" sqref="I19"/>
    </sheetView>
  </sheetViews>
  <sheetFormatPr baseColWidth="10" defaultColWidth="8.83203125" defaultRowHeight="15" x14ac:dyDescent="0.2"/>
  <cols>
    <col min="1" max="1" width="1.6640625" customWidth="1"/>
    <col min="3" max="3" width="1.6640625" customWidth="1"/>
    <col min="4" max="4" width="30.33203125" bestFit="1" customWidth="1"/>
  </cols>
  <sheetData>
    <row r="1" spans="2:28" ht="6" customHeight="1" thickBot="1" x14ac:dyDescent="0.25"/>
    <row r="2" spans="2:28" ht="16.5" customHeight="1" thickBot="1" x14ac:dyDescent="0.25">
      <c r="E2" s="107" t="s">
        <v>0</v>
      </c>
      <c r="F2" s="108"/>
      <c r="G2" s="109"/>
      <c r="H2" s="107" t="s">
        <v>1</v>
      </c>
      <c r="I2" s="108"/>
      <c r="J2" s="119"/>
      <c r="K2" s="107" t="s">
        <v>2</v>
      </c>
      <c r="L2" s="108"/>
      <c r="M2" s="109"/>
      <c r="N2" s="110" t="s">
        <v>3</v>
      </c>
      <c r="O2" s="108"/>
      <c r="P2" s="119"/>
      <c r="Q2" s="107" t="s">
        <v>4</v>
      </c>
      <c r="R2" s="108"/>
      <c r="S2" s="109"/>
      <c r="U2" s="111" t="s">
        <v>61</v>
      </c>
      <c r="V2" s="112"/>
      <c r="W2" s="112"/>
      <c r="X2" s="112"/>
      <c r="Y2" s="112"/>
      <c r="Z2" s="112"/>
      <c r="AA2" s="112"/>
      <c r="AB2" s="113"/>
    </row>
    <row r="3" spans="2:28" ht="17" thickBot="1" x14ac:dyDescent="0.25">
      <c r="E3" s="23" t="s">
        <v>5</v>
      </c>
      <c r="F3" s="24" t="s">
        <v>6</v>
      </c>
      <c r="G3" s="25" t="s">
        <v>7</v>
      </c>
      <c r="H3" s="23" t="s">
        <v>5</v>
      </c>
      <c r="I3" s="24" t="s">
        <v>6</v>
      </c>
      <c r="J3" s="77" t="s">
        <v>7</v>
      </c>
      <c r="K3" s="23" t="s">
        <v>5</v>
      </c>
      <c r="L3" s="24" t="s">
        <v>6</v>
      </c>
      <c r="M3" s="25" t="s">
        <v>7</v>
      </c>
      <c r="N3" s="26" t="s">
        <v>5</v>
      </c>
      <c r="O3" s="24" t="s">
        <v>6</v>
      </c>
      <c r="P3" s="77" t="s">
        <v>7</v>
      </c>
      <c r="Q3" s="23" t="s">
        <v>5</v>
      </c>
      <c r="R3" s="24" t="s">
        <v>6</v>
      </c>
      <c r="S3" s="25" t="s">
        <v>7</v>
      </c>
      <c r="U3" s="114"/>
      <c r="V3" s="83"/>
      <c r="W3" s="83"/>
      <c r="X3" s="83"/>
      <c r="Y3" s="83"/>
      <c r="Z3" s="83"/>
      <c r="AA3" s="83"/>
      <c r="AB3" s="115"/>
    </row>
    <row r="4" spans="2:28" x14ac:dyDescent="0.2">
      <c r="B4" s="95" t="s">
        <v>52</v>
      </c>
      <c r="C4" s="76"/>
      <c r="D4" s="27" t="s">
        <v>25</v>
      </c>
      <c r="E4" s="28"/>
      <c r="F4" s="29"/>
      <c r="G4" s="30"/>
      <c r="H4" s="28"/>
      <c r="I4" s="29"/>
      <c r="J4" s="31"/>
      <c r="K4" s="28"/>
      <c r="L4" s="29"/>
      <c r="M4" s="30"/>
      <c r="N4" s="32"/>
      <c r="O4" s="29"/>
      <c r="P4" s="31"/>
      <c r="Q4" s="28"/>
      <c r="R4" s="29"/>
      <c r="S4" s="30"/>
      <c r="U4" s="114"/>
      <c r="V4" s="83"/>
      <c r="W4" s="83"/>
      <c r="X4" s="83"/>
      <c r="Y4" s="83"/>
      <c r="Z4" s="83"/>
      <c r="AA4" s="83"/>
      <c r="AB4" s="115"/>
    </row>
    <row r="5" spans="2:28" x14ac:dyDescent="0.2">
      <c r="B5" s="96"/>
      <c r="C5" s="76"/>
      <c r="D5" s="33" t="s">
        <v>26</v>
      </c>
      <c r="E5" s="34"/>
      <c r="F5" s="35"/>
      <c r="G5" s="36"/>
      <c r="H5" s="37"/>
      <c r="I5" s="35"/>
      <c r="J5" s="38"/>
      <c r="K5" s="34"/>
      <c r="L5" s="35"/>
      <c r="M5" s="36"/>
      <c r="N5" s="39"/>
      <c r="O5" s="35"/>
      <c r="P5" s="38"/>
      <c r="Q5" s="34"/>
      <c r="R5" s="35"/>
      <c r="S5" s="36"/>
      <c r="U5" s="114"/>
      <c r="V5" s="83"/>
      <c r="W5" s="83"/>
      <c r="X5" s="83"/>
      <c r="Y5" s="83"/>
      <c r="Z5" s="83"/>
      <c r="AA5" s="83"/>
      <c r="AB5" s="115"/>
    </row>
    <row r="6" spans="2:28" x14ac:dyDescent="0.2">
      <c r="B6" s="96"/>
      <c r="C6" s="76"/>
      <c r="D6" s="33" t="s">
        <v>27</v>
      </c>
      <c r="E6" s="34"/>
      <c r="F6" s="35"/>
      <c r="G6" s="36"/>
      <c r="H6" s="37"/>
      <c r="I6" s="35"/>
      <c r="J6" s="38"/>
      <c r="K6" s="34"/>
      <c r="L6" s="35"/>
      <c r="M6" s="36"/>
      <c r="N6" s="39"/>
      <c r="O6" s="35"/>
      <c r="P6" s="38"/>
      <c r="Q6" s="34"/>
      <c r="R6" s="35"/>
      <c r="S6" s="36"/>
      <c r="U6" s="114"/>
      <c r="V6" s="83"/>
      <c r="W6" s="83"/>
      <c r="X6" s="83"/>
      <c r="Y6" s="83"/>
      <c r="Z6" s="83"/>
      <c r="AA6" s="83"/>
      <c r="AB6" s="115"/>
    </row>
    <row r="7" spans="2:28" x14ac:dyDescent="0.2">
      <c r="B7" s="96"/>
      <c r="C7" s="76"/>
      <c r="D7" s="33" t="s">
        <v>28</v>
      </c>
      <c r="E7" s="34"/>
      <c r="F7" s="35"/>
      <c r="G7" s="36"/>
      <c r="H7" s="37"/>
      <c r="I7" s="35"/>
      <c r="J7" s="38"/>
      <c r="K7" s="34"/>
      <c r="L7" s="35"/>
      <c r="M7" s="36"/>
      <c r="N7" s="39"/>
      <c r="O7" s="35"/>
      <c r="P7" s="38"/>
      <c r="Q7" s="34"/>
      <c r="R7" s="35"/>
      <c r="S7" s="36"/>
      <c r="U7" s="114"/>
      <c r="V7" s="83"/>
      <c r="W7" s="83"/>
      <c r="X7" s="83"/>
      <c r="Y7" s="83"/>
      <c r="Z7" s="83"/>
      <c r="AA7" s="83"/>
      <c r="AB7" s="115"/>
    </row>
    <row r="8" spans="2:28" x14ac:dyDescent="0.2">
      <c r="B8" s="96"/>
      <c r="C8" s="76"/>
      <c r="D8" s="33" t="s">
        <v>29</v>
      </c>
      <c r="E8" s="34"/>
      <c r="F8" s="35"/>
      <c r="G8" s="36"/>
      <c r="H8" s="37"/>
      <c r="I8" s="35"/>
      <c r="J8" s="38"/>
      <c r="K8" s="34"/>
      <c r="L8" s="35"/>
      <c r="M8" s="36"/>
      <c r="N8" s="39"/>
      <c r="O8" s="35"/>
      <c r="P8" s="38"/>
      <c r="Q8" s="34"/>
      <c r="R8" s="35"/>
      <c r="S8" s="36"/>
      <c r="U8" s="114"/>
      <c r="V8" s="83"/>
      <c r="W8" s="83"/>
      <c r="X8" s="83"/>
      <c r="Y8" s="83"/>
      <c r="Z8" s="83"/>
      <c r="AA8" s="83"/>
      <c r="AB8" s="115"/>
    </row>
    <row r="9" spans="2:28" ht="16" thickBot="1" x14ac:dyDescent="0.25">
      <c r="B9" s="97"/>
      <c r="C9" s="76"/>
      <c r="D9" s="33" t="s">
        <v>30</v>
      </c>
      <c r="E9" s="34"/>
      <c r="F9" s="35"/>
      <c r="G9" s="36"/>
      <c r="H9" s="37"/>
      <c r="I9" s="35"/>
      <c r="J9" s="38"/>
      <c r="K9" s="34"/>
      <c r="L9" s="35"/>
      <c r="M9" s="36"/>
      <c r="N9" s="39"/>
      <c r="O9" s="35"/>
      <c r="P9" s="38"/>
      <c r="Q9" s="34"/>
      <c r="R9" s="35"/>
      <c r="S9" s="36"/>
      <c r="U9" s="114"/>
      <c r="V9" s="83"/>
      <c r="W9" s="83"/>
      <c r="X9" s="83"/>
      <c r="Y9" s="83"/>
      <c r="Z9" s="83"/>
      <c r="AA9" s="83"/>
      <c r="AB9" s="115"/>
    </row>
    <row r="10" spans="2:28" ht="15" customHeight="1" x14ac:dyDescent="0.2">
      <c r="B10" s="98" t="s">
        <v>53</v>
      </c>
      <c r="C10" s="76"/>
      <c r="D10" s="40" t="s">
        <v>31</v>
      </c>
      <c r="E10" s="41"/>
      <c r="F10" s="42"/>
      <c r="G10" s="43"/>
      <c r="H10" s="44"/>
      <c r="I10" s="42"/>
      <c r="J10" s="45"/>
      <c r="K10" s="41"/>
      <c r="L10" s="42"/>
      <c r="M10" s="43"/>
      <c r="N10" s="46"/>
      <c r="O10" s="42"/>
      <c r="P10" s="45"/>
      <c r="Q10" s="41"/>
      <c r="R10" s="42"/>
      <c r="S10" s="43"/>
      <c r="U10" s="114"/>
      <c r="V10" s="83"/>
      <c r="W10" s="83"/>
      <c r="X10" s="83"/>
      <c r="Y10" s="83"/>
      <c r="Z10" s="83"/>
      <c r="AA10" s="83"/>
      <c r="AB10" s="115"/>
    </row>
    <row r="11" spans="2:28" x14ac:dyDescent="0.2">
      <c r="B11" s="99"/>
      <c r="C11" s="76"/>
      <c r="D11" s="40" t="s">
        <v>32</v>
      </c>
      <c r="E11" s="41"/>
      <c r="F11" s="42"/>
      <c r="G11" s="43"/>
      <c r="H11" s="44"/>
      <c r="I11" s="42"/>
      <c r="J11" s="45"/>
      <c r="K11" s="41"/>
      <c r="L11" s="42"/>
      <c r="M11" s="43"/>
      <c r="N11" s="46"/>
      <c r="O11" s="42"/>
      <c r="P11" s="45"/>
      <c r="Q11" s="41"/>
      <c r="R11" s="42"/>
      <c r="S11" s="43"/>
      <c r="U11" s="114"/>
      <c r="V11" s="83"/>
      <c r="W11" s="83"/>
      <c r="X11" s="83"/>
      <c r="Y11" s="83"/>
      <c r="Z11" s="83"/>
      <c r="AA11" s="83"/>
      <c r="AB11" s="115"/>
    </row>
    <row r="12" spans="2:28" x14ac:dyDescent="0.2">
      <c r="B12" s="99"/>
      <c r="C12" s="76"/>
      <c r="D12" s="40" t="s">
        <v>33</v>
      </c>
      <c r="E12" s="41"/>
      <c r="F12" s="42"/>
      <c r="G12" s="43"/>
      <c r="H12" s="44"/>
      <c r="I12" s="42"/>
      <c r="J12" s="45"/>
      <c r="K12" s="41"/>
      <c r="L12" s="42"/>
      <c r="M12" s="43"/>
      <c r="N12" s="46"/>
      <c r="O12" s="42"/>
      <c r="P12" s="45"/>
      <c r="Q12" s="41"/>
      <c r="R12" s="42"/>
      <c r="S12" s="43"/>
      <c r="U12" s="114"/>
      <c r="V12" s="83"/>
      <c r="W12" s="83"/>
      <c r="X12" s="83"/>
      <c r="Y12" s="83"/>
      <c r="Z12" s="83"/>
      <c r="AA12" s="83"/>
      <c r="AB12" s="115"/>
    </row>
    <row r="13" spans="2:28" x14ac:dyDescent="0.2">
      <c r="B13" s="99"/>
      <c r="C13" s="76"/>
      <c r="D13" s="40" t="s">
        <v>34</v>
      </c>
      <c r="E13" s="41"/>
      <c r="F13" s="42"/>
      <c r="G13" s="43"/>
      <c r="H13" s="44"/>
      <c r="I13" s="42"/>
      <c r="J13" s="45"/>
      <c r="K13" s="41"/>
      <c r="L13" s="42"/>
      <c r="M13" s="43"/>
      <c r="N13" s="46"/>
      <c r="O13" s="42"/>
      <c r="P13" s="45"/>
      <c r="Q13" s="41"/>
      <c r="R13" s="42"/>
      <c r="S13" s="43"/>
      <c r="U13" s="114"/>
      <c r="V13" s="83"/>
      <c r="W13" s="83"/>
      <c r="X13" s="83"/>
      <c r="Y13" s="83"/>
      <c r="Z13" s="83"/>
      <c r="AA13" s="83"/>
      <c r="AB13" s="115"/>
    </row>
    <row r="14" spans="2:28" x14ac:dyDescent="0.2">
      <c r="B14" s="99"/>
      <c r="C14" s="76"/>
      <c r="D14" s="40" t="s">
        <v>35</v>
      </c>
      <c r="E14" s="41"/>
      <c r="F14" s="42"/>
      <c r="G14" s="43"/>
      <c r="H14" s="44"/>
      <c r="I14" s="42"/>
      <c r="J14" s="45"/>
      <c r="K14" s="41"/>
      <c r="L14" s="42"/>
      <c r="M14" s="43"/>
      <c r="N14" s="46"/>
      <c r="O14" s="42"/>
      <c r="P14" s="45"/>
      <c r="Q14" s="41"/>
      <c r="R14" s="42"/>
      <c r="S14" s="43"/>
      <c r="U14" s="114"/>
      <c r="V14" s="83"/>
      <c r="W14" s="83"/>
      <c r="X14" s="83"/>
      <c r="Y14" s="83"/>
      <c r="Z14" s="83"/>
      <c r="AA14" s="83"/>
      <c r="AB14" s="115"/>
    </row>
    <row r="15" spans="2:28" x14ac:dyDescent="0.2">
      <c r="B15" s="99"/>
      <c r="C15" s="76"/>
      <c r="D15" s="40" t="s">
        <v>36</v>
      </c>
      <c r="E15" s="41"/>
      <c r="F15" s="42"/>
      <c r="G15" s="43"/>
      <c r="H15" s="44"/>
      <c r="I15" s="42"/>
      <c r="J15" s="45"/>
      <c r="K15" s="41"/>
      <c r="L15" s="42"/>
      <c r="M15" s="43"/>
      <c r="N15" s="46"/>
      <c r="O15" s="42"/>
      <c r="P15" s="45"/>
      <c r="Q15" s="41"/>
      <c r="R15" s="42"/>
      <c r="S15" s="43"/>
      <c r="U15" s="114"/>
      <c r="V15" s="83"/>
      <c r="W15" s="83"/>
      <c r="X15" s="83"/>
      <c r="Y15" s="83"/>
      <c r="Z15" s="83"/>
      <c r="AA15" s="83"/>
      <c r="AB15" s="115"/>
    </row>
    <row r="16" spans="2:28" x14ac:dyDescent="0.2">
      <c r="B16" s="99"/>
      <c r="C16" s="76"/>
      <c r="D16" s="40" t="s">
        <v>37</v>
      </c>
      <c r="E16" s="41"/>
      <c r="F16" s="42"/>
      <c r="G16" s="43"/>
      <c r="H16" s="44"/>
      <c r="I16" s="42"/>
      <c r="J16" s="45"/>
      <c r="K16" s="41"/>
      <c r="L16" s="42"/>
      <c r="M16" s="43"/>
      <c r="N16" s="46"/>
      <c r="O16" s="42"/>
      <c r="P16" s="45"/>
      <c r="Q16" s="41"/>
      <c r="R16" s="42"/>
      <c r="S16" s="43"/>
      <c r="U16" s="114"/>
      <c r="V16" s="83"/>
      <c r="W16" s="83"/>
      <c r="X16" s="83"/>
      <c r="Y16" s="83"/>
      <c r="Z16" s="83"/>
      <c r="AA16" s="83"/>
      <c r="AB16" s="115"/>
    </row>
    <row r="17" spans="2:28" x14ac:dyDescent="0.2">
      <c r="B17" s="99"/>
      <c r="C17" s="76"/>
      <c r="D17" s="40" t="s">
        <v>38</v>
      </c>
      <c r="E17" s="41"/>
      <c r="F17" s="42"/>
      <c r="G17" s="43"/>
      <c r="H17" s="44"/>
      <c r="I17" s="42"/>
      <c r="J17" s="45"/>
      <c r="K17" s="41"/>
      <c r="L17" s="42"/>
      <c r="M17" s="43"/>
      <c r="N17" s="46"/>
      <c r="O17" s="42"/>
      <c r="P17" s="45"/>
      <c r="Q17" s="41"/>
      <c r="R17" s="42"/>
      <c r="S17" s="43"/>
      <c r="U17" s="114"/>
      <c r="V17" s="83"/>
      <c r="W17" s="83"/>
      <c r="X17" s="83"/>
      <c r="Y17" s="83"/>
      <c r="Z17" s="83"/>
      <c r="AA17" s="83"/>
      <c r="AB17" s="115"/>
    </row>
    <row r="18" spans="2:28" x14ac:dyDescent="0.2">
      <c r="B18" s="99"/>
      <c r="C18" s="76"/>
      <c r="D18" s="40" t="s">
        <v>39</v>
      </c>
      <c r="E18" s="41"/>
      <c r="F18" s="42"/>
      <c r="G18" s="43"/>
      <c r="H18" s="44"/>
      <c r="I18" s="42"/>
      <c r="J18" s="45"/>
      <c r="K18" s="41"/>
      <c r="L18" s="42"/>
      <c r="M18" s="43"/>
      <c r="N18" s="46"/>
      <c r="O18" s="42"/>
      <c r="P18" s="45"/>
      <c r="Q18" s="41"/>
      <c r="R18" s="42"/>
      <c r="S18" s="43"/>
      <c r="U18" s="114"/>
      <c r="V18" s="83"/>
      <c r="W18" s="83"/>
      <c r="X18" s="83"/>
      <c r="Y18" s="83"/>
      <c r="Z18" s="83"/>
      <c r="AA18" s="83"/>
      <c r="AB18" s="115"/>
    </row>
    <row r="19" spans="2:28" x14ac:dyDescent="0.2">
      <c r="B19" s="99"/>
      <c r="C19" s="76"/>
      <c r="D19" s="40" t="s">
        <v>40</v>
      </c>
      <c r="E19" s="41"/>
      <c r="F19" s="42"/>
      <c r="G19" s="43"/>
      <c r="H19" s="44"/>
      <c r="I19" s="42"/>
      <c r="J19" s="45"/>
      <c r="K19" s="41"/>
      <c r="L19" s="42"/>
      <c r="M19" s="43"/>
      <c r="N19" s="46"/>
      <c r="O19" s="42"/>
      <c r="P19" s="45"/>
      <c r="Q19" s="41"/>
      <c r="R19" s="42"/>
      <c r="S19" s="43"/>
      <c r="U19" s="114"/>
      <c r="V19" s="83"/>
      <c r="W19" s="83"/>
      <c r="X19" s="83"/>
      <c r="Y19" s="83"/>
      <c r="Z19" s="83"/>
      <c r="AA19" s="83"/>
      <c r="AB19" s="115"/>
    </row>
    <row r="20" spans="2:28" ht="16" thickBot="1" x14ac:dyDescent="0.25">
      <c r="B20" s="100"/>
      <c r="C20" s="76"/>
      <c r="D20" s="40" t="s">
        <v>41</v>
      </c>
      <c r="E20" s="41"/>
      <c r="F20" s="42"/>
      <c r="G20" s="43"/>
      <c r="H20" s="44"/>
      <c r="I20" s="42"/>
      <c r="J20" s="45"/>
      <c r="K20" s="41"/>
      <c r="L20" s="42"/>
      <c r="M20" s="43"/>
      <c r="N20" s="46"/>
      <c r="O20" s="42"/>
      <c r="P20" s="45"/>
      <c r="Q20" s="41"/>
      <c r="R20" s="42"/>
      <c r="S20" s="43"/>
      <c r="U20" s="116"/>
      <c r="V20" s="117"/>
      <c r="W20" s="117"/>
      <c r="X20" s="117"/>
      <c r="Y20" s="117"/>
      <c r="Z20" s="117"/>
      <c r="AA20" s="117"/>
      <c r="AB20" s="118"/>
    </row>
    <row r="21" spans="2:28" x14ac:dyDescent="0.2">
      <c r="B21" s="101" t="s">
        <v>54</v>
      </c>
      <c r="C21" s="76"/>
      <c r="D21" s="47" t="s">
        <v>42</v>
      </c>
      <c r="E21" s="48"/>
      <c r="F21" s="49"/>
      <c r="G21" s="50"/>
      <c r="H21" s="51"/>
      <c r="I21" s="49"/>
      <c r="J21" s="52"/>
      <c r="K21" s="48"/>
      <c r="L21" s="49"/>
      <c r="M21" s="50"/>
      <c r="N21" s="53"/>
      <c r="O21" s="49"/>
      <c r="P21" s="52"/>
      <c r="Q21" s="48"/>
      <c r="R21" s="49"/>
      <c r="S21" s="50"/>
    </row>
    <row r="22" spans="2:28" x14ac:dyDescent="0.2">
      <c r="B22" s="102"/>
      <c r="C22" s="76"/>
      <c r="D22" s="47" t="s">
        <v>43</v>
      </c>
      <c r="E22" s="48"/>
      <c r="F22" s="49"/>
      <c r="G22" s="50"/>
      <c r="H22" s="51"/>
      <c r="I22" s="49"/>
      <c r="J22" s="52"/>
      <c r="K22" s="48"/>
      <c r="L22" s="49"/>
      <c r="M22" s="50"/>
      <c r="N22" s="53"/>
      <c r="O22" s="49"/>
      <c r="P22" s="52"/>
      <c r="Q22" s="48"/>
      <c r="R22" s="49"/>
      <c r="S22" s="50"/>
    </row>
    <row r="23" spans="2:28" x14ac:dyDescent="0.2">
      <c r="B23" s="102"/>
      <c r="C23" s="76"/>
      <c r="D23" s="47" t="s">
        <v>44</v>
      </c>
      <c r="E23" s="48"/>
      <c r="F23" s="49"/>
      <c r="G23" s="50"/>
      <c r="H23" s="51"/>
      <c r="I23" s="49"/>
      <c r="J23" s="52"/>
      <c r="K23" s="48"/>
      <c r="L23" s="49"/>
      <c r="M23" s="50"/>
      <c r="N23" s="53"/>
      <c r="O23" s="49"/>
      <c r="P23" s="52"/>
      <c r="Q23" s="48"/>
      <c r="R23" s="49"/>
      <c r="S23" s="50"/>
    </row>
    <row r="24" spans="2:28" x14ac:dyDescent="0.2">
      <c r="B24" s="102"/>
      <c r="C24" s="76"/>
      <c r="D24" s="47" t="s">
        <v>45</v>
      </c>
      <c r="E24" s="48"/>
      <c r="F24" s="49"/>
      <c r="G24" s="50"/>
      <c r="H24" s="52"/>
      <c r="I24" s="49"/>
      <c r="J24" s="52"/>
      <c r="K24" s="48"/>
      <c r="L24" s="49"/>
      <c r="M24" s="50"/>
      <c r="N24" s="53"/>
      <c r="O24" s="49"/>
      <c r="P24" s="52"/>
      <c r="Q24" s="48"/>
      <c r="R24" s="49"/>
      <c r="S24" s="50"/>
    </row>
    <row r="25" spans="2:28" ht="16" thickBot="1" x14ac:dyDescent="0.25">
      <c r="B25" s="103"/>
      <c r="C25" s="76"/>
      <c r="D25" s="47" t="s">
        <v>46</v>
      </c>
      <c r="E25" s="48"/>
      <c r="F25" s="49"/>
      <c r="G25" s="50"/>
      <c r="H25" s="51"/>
      <c r="I25" s="49"/>
      <c r="J25" s="52"/>
      <c r="K25" s="48"/>
      <c r="L25" s="49"/>
      <c r="M25" s="50"/>
      <c r="N25" s="53"/>
      <c r="O25" s="49"/>
      <c r="P25" s="52"/>
      <c r="Q25" s="48"/>
      <c r="R25" s="49"/>
      <c r="S25" s="50"/>
    </row>
    <row r="26" spans="2:28" x14ac:dyDescent="0.2">
      <c r="B26" s="104" t="s">
        <v>55</v>
      </c>
      <c r="C26" s="76"/>
      <c r="D26" s="54" t="s">
        <v>47</v>
      </c>
      <c r="E26" s="55"/>
      <c r="F26" s="56"/>
      <c r="G26" s="57"/>
      <c r="H26" s="58"/>
      <c r="I26" s="56"/>
      <c r="J26" s="59"/>
      <c r="K26" s="55"/>
      <c r="L26" s="56"/>
      <c r="M26" s="57"/>
      <c r="N26" s="60"/>
      <c r="O26" s="56"/>
      <c r="P26" s="59"/>
      <c r="Q26" s="55"/>
      <c r="R26" s="56"/>
      <c r="S26" s="57"/>
    </row>
    <row r="27" spans="2:28" x14ac:dyDescent="0.2">
      <c r="B27" s="105"/>
      <c r="C27" s="76"/>
      <c r="D27" s="54" t="s">
        <v>48</v>
      </c>
      <c r="E27" s="55"/>
      <c r="F27" s="56"/>
      <c r="G27" s="57"/>
      <c r="H27" s="58"/>
      <c r="I27" s="56"/>
      <c r="J27" s="59"/>
      <c r="K27" s="55"/>
      <c r="L27" s="56"/>
      <c r="M27" s="57"/>
      <c r="N27" s="60"/>
      <c r="O27" s="56"/>
      <c r="P27" s="59"/>
      <c r="Q27" s="55"/>
      <c r="R27" s="56"/>
      <c r="S27" s="57"/>
    </row>
    <row r="28" spans="2:28" x14ac:dyDescent="0.2">
      <c r="B28" s="105"/>
      <c r="C28" s="76"/>
      <c r="D28" s="54" t="s">
        <v>49</v>
      </c>
      <c r="E28" s="55"/>
      <c r="F28" s="56"/>
      <c r="G28" s="57"/>
      <c r="H28" s="58"/>
      <c r="I28" s="56"/>
      <c r="J28" s="59"/>
      <c r="K28" s="55"/>
      <c r="L28" s="56"/>
      <c r="M28" s="57"/>
      <c r="N28" s="60"/>
      <c r="O28" s="56"/>
      <c r="P28" s="59"/>
      <c r="Q28" s="55"/>
      <c r="R28" s="56"/>
      <c r="S28" s="57"/>
    </row>
    <row r="29" spans="2:28" x14ac:dyDescent="0.2">
      <c r="B29" s="105"/>
      <c r="C29" s="76"/>
      <c r="D29" s="54" t="s">
        <v>50</v>
      </c>
      <c r="E29" s="55"/>
      <c r="F29" s="56"/>
      <c r="G29" s="57"/>
      <c r="H29" s="58"/>
      <c r="I29" s="56"/>
      <c r="J29" s="59"/>
      <c r="K29" s="55"/>
      <c r="L29" s="56"/>
      <c r="M29" s="57"/>
      <c r="N29" s="60"/>
      <c r="O29" s="56"/>
      <c r="P29" s="59"/>
      <c r="Q29" s="55"/>
      <c r="R29" s="56"/>
      <c r="S29" s="57"/>
    </row>
    <row r="30" spans="2:28" ht="16" thickBot="1" x14ac:dyDescent="0.25">
      <c r="B30" s="106"/>
      <c r="C30" s="76"/>
      <c r="D30" s="61" t="s">
        <v>51</v>
      </c>
      <c r="E30" s="62"/>
      <c r="F30" s="63"/>
      <c r="G30" s="64"/>
      <c r="H30" s="62"/>
      <c r="I30" s="63"/>
      <c r="J30" s="65"/>
      <c r="K30" s="62"/>
      <c r="L30" s="63"/>
      <c r="M30" s="64"/>
      <c r="N30" s="66"/>
      <c r="O30" s="63"/>
      <c r="P30" s="65"/>
      <c r="Q30" s="62"/>
      <c r="R30" s="63"/>
      <c r="S30" s="64"/>
    </row>
    <row r="31" spans="2:28" ht="6" customHeight="1" thickBot="1" x14ac:dyDescent="0.25"/>
    <row r="32" spans="2:28" x14ac:dyDescent="0.2">
      <c r="D32" s="67" t="s">
        <v>56</v>
      </c>
      <c r="E32" s="68">
        <f>SUM(E4:E9)</f>
        <v>0</v>
      </c>
      <c r="F32" s="68">
        <f t="shared" ref="F32:S32" si="0">SUM(F4:F9)</f>
        <v>0</v>
      </c>
      <c r="G32" s="68">
        <f t="shared" si="0"/>
        <v>0</v>
      </c>
      <c r="H32" s="68">
        <f t="shared" si="0"/>
        <v>0</v>
      </c>
      <c r="I32" s="68">
        <f t="shared" si="0"/>
        <v>0</v>
      </c>
      <c r="J32" s="68">
        <f t="shared" si="0"/>
        <v>0</v>
      </c>
      <c r="K32" s="68">
        <f t="shared" si="0"/>
        <v>0</v>
      </c>
      <c r="L32" s="68">
        <f t="shared" si="0"/>
        <v>0</v>
      </c>
      <c r="M32" s="68">
        <f t="shared" si="0"/>
        <v>0</v>
      </c>
      <c r="N32" s="68">
        <f t="shared" si="0"/>
        <v>0</v>
      </c>
      <c r="O32" s="68">
        <f t="shared" si="0"/>
        <v>0</v>
      </c>
      <c r="P32" s="68">
        <f t="shared" si="0"/>
        <v>0</v>
      </c>
      <c r="Q32" s="68">
        <f t="shared" si="0"/>
        <v>0</v>
      </c>
      <c r="R32" s="68">
        <f t="shared" si="0"/>
        <v>0</v>
      </c>
      <c r="S32" s="69">
        <f t="shared" si="0"/>
        <v>0</v>
      </c>
    </row>
    <row r="33" spans="4:19" x14ac:dyDescent="0.2">
      <c r="D33" s="70" t="s">
        <v>57</v>
      </c>
      <c r="E33" s="42">
        <f>SUM(E10:E20)</f>
        <v>0</v>
      </c>
      <c r="F33" s="42">
        <f t="shared" ref="F33:S33" si="1">SUM(F10:F20)</f>
        <v>0</v>
      </c>
      <c r="G33" s="42">
        <f t="shared" si="1"/>
        <v>0</v>
      </c>
      <c r="H33" s="42">
        <f t="shared" si="1"/>
        <v>0</v>
      </c>
      <c r="I33" s="42">
        <f t="shared" si="1"/>
        <v>0</v>
      </c>
      <c r="J33" s="42">
        <f t="shared" si="1"/>
        <v>0</v>
      </c>
      <c r="K33" s="42">
        <f t="shared" si="1"/>
        <v>0</v>
      </c>
      <c r="L33" s="42">
        <f t="shared" si="1"/>
        <v>0</v>
      </c>
      <c r="M33" s="42">
        <f t="shared" si="1"/>
        <v>0</v>
      </c>
      <c r="N33" s="42">
        <f t="shared" si="1"/>
        <v>0</v>
      </c>
      <c r="O33" s="42">
        <f t="shared" si="1"/>
        <v>0</v>
      </c>
      <c r="P33" s="42">
        <f t="shared" si="1"/>
        <v>0</v>
      </c>
      <c r="Q33" s="42">
        <f t="shared" si="1"/>
        <v>0</v>
      </c>
      <c r="R33" s="42">
        <f t="shared" si="1"/>
        <v>0</v>
      </c>
      <c r="S33" s="43">
        <f t="shared" si="1"/>
        <v>0</v>
      </c>
    </row>
    <row r="34" spans="4:19" x14ac:dyDescent="0.2">
      <c r="D34" s="71" t="s">
        <v>58</v>
      </c>
      <c r="E34" s="49">
        <f>SUM(E21:E25)</f>
        <v>0</v>
      </c>
      <c r="F34" s="49">
        <f t="shared" ref="F34:S34" si="2">SUM(F21:F25)</f>
        <v>0</v>
      </c>
      <c r="G34" s="49">
        <f t="shared" si="2"/>
        <v>0</v>
      </c>
      <c r="H34" s="49">
        <f t="shared" si="2"/>
        <v>0</v>
      </c>
      <c r="I34" s="49">
        <f t="shared" si="2"/>
        <v>0</v>
      </c>
      <c r="J34" s="49">
        <f t="shared" si="2"/>
        <v>0</v>
      </c>
      <c r="K34" s="49">
        <f t="shared" si="2"/>
        <v>0</v>
      </c>
      <c r="L34" s="49">
        <f t="shared" si="2"/>
        <v>0</v>
      </c>
      <c r="M34" s="49">
        <f t="shared" si="2"/>
        <v>0</v>
      </c>
      <c r="N34" s="49">
        <f t="shared" si="2"/>
        <v>0</v>
      </c>
      <c r="O34" s="49">
        <f t="shared" si="2"/>
        <v>0</v>
      </c>
      <c r="P34" s="49">
        <f t="shared" si="2"/>
        <v>0</v>
      </c>
      <c r="Q34" s="49">
        <f t="shared" si="2"/>
        <v>0</v>
      </c>
      <c r="R34" s="49">
        <f t="shared" si="2"/>
        <v>0</v>
      </c>
      <c r="S34" s="50">
        <f t="shared" si="2"/>
        <v>0</v>
      </c>
    </row>
    <row r="35" spans="4:19" ht="16" thickBot="1" x14ac:dyDescent="0.25">
      <c r="D35" s="72" t="s">
        <v>59</v>
      </c>
      <c r="E35" s="63">
        <f>SUM(E26:E30)</f>
        <v>0</v>
      </c>
      <c r="F35" s="63">
        <f t="shared" ref="F35:S35" si="3">SUM(F26:F30)</f>
        <v>0</v>
      </c>
      <c r="G35" s="63">
        <f t="shared" si="3"/>
        <v>0</v>
      </c>
      <c r="H35" s="63">
        <f t="shared" si="3"/>
        <v>0</v>
      </c>
      <c r="I35" s="63">
        <f t="shared" si="3"/>
        <v>0</v>
      </c>
      <c r="J35" s="63">
        <f t="shared" si="3"/>
        <v>0</v>
      </c>
      <c r="K35" s="63">
        <f t="shared" si="3"/>
        <v>0</v>
      </c>
      <c r="L35" s="63">
        <f t="shared" si="3"/>
        <v>0</v>
      </c>
      <c r="M35" s="63">
        <f t="shared" si="3"/>
        <v>0</v>
      </c>
      <c r="N35" s="63">
        <f t="shared" si="3"/>
        <v>0</v>
      </c>
      <c r="O35" s="63">
        <f t="shared" si="3"/>
        <v>0</v>
      </c>
      <c r="P35" s="63">
        <f t="shared" si="3"/>
        <v>0</v>
      </c>
      <c r="Q35" s="63">
        <f t="shared" si="3"/>
        <v>0</v>
      </c>
      <c r="R35" s="63">
        <f t="shared" si="3"/>
        <v>0</v>
      </c>
      <c r="S35" s="64">
        <f t="shared" si="3"/>
        <v>0</v>
      </c>
    </row>
    <row r="36" spans="4:19" ht="6" customHeight="1" thickBot="1" x14ac:dyDescent="0.25"/>
    <row r="37" spans="4:19" ht="16" thickBot="1" x14ac:dyDescent="0.25">
      <c r="D37" s="73" t="s">
        <v>60</v>
      </c>
      <c r="E37" s="74">
        <f>SUM(E4:E30)</f>
        <v>0</v>
      </c>
      <c r="F37" s="74">
        <f t="shared" ref="F37:S37" si="4">SUM(F4:F30)</f>
        <v>0</v>
      </c>
      <c r="G37" s="74">
        <f t="shared" si="4"/>
        <v>0</v>
      </c>
      <c r="H37" s="74">
        <f t="shared" si="4"/>
        <v>0</v>
      </c>
      <c r="I37" s="74">
        <f t="shared" si="4"/>
        <v>0</v>
      </c>
      <c r="J37" s="74">
        <f t="shared" si="4"/>
        <v>0</v>
      </c>
      <c r="K37" s="74">
        <f t="shared" si="4"/>
        <v>0</v>
      </c>
      <c r="L37" s="74">
        <f t="shared" si="4"/>
        <v>0</v>
      </c>
      <c r="M37" s="74">
        <f t="shared" si="4"/>
        <v>0</v>
      </c>
      <c r="N37" s="74">
        <f t="shared" si="4"/>
        <v>0</v>
      </c>
      <c r="O37" s="74">
        <f t="shared" si="4"/>
        <v>0</v>
      </c>
      <c r="P37" s="74">
        <f t="shared" si="4"/>
        <v>0</v>
      </c>
      <c r="Q37" s="74">
        <f t="shared" si="4"/>
        <v>0</v>
      </c>
      <c r="R37" s="74">
        <f t="shared" si="4"/>
        <v>0</v>
      </c>
      <c r="S37" s="75">
        <f t="shared" si="4"/>
        <v>0</v>
      </c>
    </row>
  </sheetData>
  <mergeCells count="10">
    <mergeCell ref="H2:J2"/>
    <mergeCell ref="K2:M2"/>
    <mergeCell ref="N2:P2"/>
    <mergeCell ref="Q2:S2"/>
    <mergeCell ref="U2:AB20"/>
    <mergeCell ref="B4:B9"/>
    <mergeCell ref="B10:B20"/>
    <mergeCell ref="B21:B25"/>
    <mergeCell ref="B26:B30"/>
    <mergeCell ref="E2:G2"/>
  </mergeCells>
  <pageMargins left="0.7" right="0.7" top="0.75" bottom="0.75" header="0.3" footer="0.3"/>
  <ignoredErrors>
    <ignoredError sqref="E32:S35"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70816-31B6-4097-8D03-EAB23CF49957}">
  <dimension ref="B2:K30"/>
  <sheetViews>
    <sheetView zoomScale="120" zoomScaleNormal="120" workbookViewId="0">
      <selection activeCell="K29" sqref="K29"/>
    </sheetView>
  </sheetViews>
  <sheetFormatPr baseColWidth="10" defaultColWidth="8.83203125" defaultRowHeight="15" x14ac:dyDescent="0.2"/>
  <cols>
    <col min="2" max="2" width="15.33203125" bestFit="1" customWidth="1"/>
    <col min="3" max="3" width="2.6640625" customWidth="1"/>
    <col min="4" max="4" width="22" bestFit="1" customWidth="1"/>
    <col min="5" max="5" width="2.6640625" customWidth="1"/>
    <col min="6" max="6" width="11" bestFit="1" customWidth="1"/>
    <col min="7" max="7" width="2.6640625" customWidth="1"/>
    <col min="8" max="8" width="30.33203125" bestFit="1" customWidth="1"/>
    <col min="9" max="9" width="2.6640625" customWidth="1"/>
    <col min="10" max="10" width="11.6640625" bestFit="1" customWidth="1"/>
  </cols>
  <sheetData>
    <row r="2" spans="2:11" x14ac:dyDescent="0.2">
      <c r="B2" s="81" t="s">
        <v>205</v>
      </c>
      <c r="D2" s="81" t="s">
        <v>206</v>
      </c>
      <c r="F2" s="81" t="s">
        <v>207</v>
      </c>
      <c r="G2" s="81"/>
      <c r="H2" s="81" t="s">
        <v>208</v>
      </c>
      <c r="J2" s="81" t="s">
        <v>209</v>
      </c>
      <c r="K2" s="81" t="s">
        <v>255</v>
      </c>
    </row>
    <row r="3" spans="2:11" x14ac:dyDescent="0.2">
      <c r="B3" t="s">
        <v>253</v>
      </c>
      <c r="D3" t="s">
        <v>218</v>
      </c>
      <c r="F3" t="s">
        <v>210</v>
      </c>
      <c r="H3" t="s">
        <v>25</v>
      </c>
      <c r="J3" t="s">
        <v>236</v>
      </c>
      <c r="K3" t="s">
        <v>256</v>
      </c>
    </row>
    <row r="4" spans="2:11" x14ac:dyDescent="0.2">
      <c r="B4" t="s">
        <v>254</v>
      </c>
      <c r="D4" t="s">
        <v>219</v>
      </c>
      <c r="F4" t="s">
        <v>79</v>
      </c>
      <c r="H4" t="s">
        <v>26</v>
      </c>
      <c r="J4" t="s">
        <v>237</v>
      </c>
      <c r="K4" t="s">
        <v>257</v>
      </c>
    </row>
    <row r="5" spans="2:11" x14ac:dyDescent="0.2">
      <c r="B5" t="s">
        <v>216</v>
      </c>
      <c r="D5" t="s">
        <v>220</v>
      </c>
      <c r="F5" t="s">
        <v>211</v>
      </c>
      <c r="H5" t="s">
        <v>27</v>
      </c>
      <c r="J5" t="s">
        <v>238</v>
      </c>
      <c r="K5" t="s">
        <v>258</v>
      </c>
    </row>
    <row r="6" spans="2:11" x14ac:dyDescent="0.2">
      <c r="B6" t="s">
        <v>217</v>
      </c>
      <c r="D6" t="s">
        <v>221</v>
      </c>
      <c r="F6" t="s">
        <v>212</v>
      </c>
      <c r="H6" t="s">
        <v>28</v>
      </c>
      <c r="J6" t="s">
        <v>239</v>
      </c>
      <c r="K6" t="s">
        <v>256</v>
      </c>
    </row>
    <row r="7" spans="2:11" x14ac:dyDescent="0.2">
      <c r="D7" t="s">
        <v>222</v>
      </c>
      <c r="F7" t="s">
        <v>213</v>
      </c>
      <c r="H7" t="s">
        <v>29</v>
      </c>
      <c r="J7" t="s">
        <v>240</v>
      </c>
      <c r="K7" t="s">
        <v>257</v>
      </c>
    </row>
    <row r="8" spans="2:11" x14ac:dyDescent="0.2">
      <c r="D8" t="s">
        <v>223</v>
      </c>
      <c r="H8" t="s">
        <v>31</v>
      </c>
      <c r="J8" t="s">
        <v>241</v>
      </c>
      <c r="K8" t="s">
        <v>258</v>
      </c>
    </row>
    <row r="9" spans="2:11" x14ac:dyDescent="0.2">
      <c r="D9" t="s">
        <v>224</v>
      </c>
      <c r="H9" t="s">
        <v>32</v>
      </c>
      <c r="J9" t="s">
        <v>242</v>
      </c>
      <c r="K9" t="s">
        <v>256</v>
      </c>
    </row>
    <row r="10" spans="2:11" x14ac:dyDescent="0.2">
      <c r="D10" t="s">
        <v>225</v>
      </c>
      <c r="H10" t="s">
        <v>33</v>
      </c>
      <c r="J10" t="s">
        <v>243</v>
      </c>
      <c r="K10" t="s">
        <v>257</v>
      </c>
    </row>
    <row r="11" spans="2:11" x14ac:dyDescent="0.2">
      <c r="D11" t="s">
        <v>226</v>
      </c>
      <c r="H11" t="s">
        <v>34</v>
      </c>
      <c r="J11" t="s">
        <v>244</v>
      </c>
      <c r="K11" t="s">
        <v>258</v>
      </c>
    </row>
    <row r="12" spans="2:11" x14ac:dyDescent="0.2">
      <c r="D12" t="s">
        <v>227</v>
      </c>
      <c r="H12" t="s">
        <v>35</v>
      </c>
      <c r="J12" t="s">
        <v>245</v>
      </c>
      <c r="K12" t="s">
        <v>256</v>
      </c>
    </row>
    <row r="13" spans="2:11" x14ac:dyDescent="0.2">
      <c r="D13" t="s">
        <v>228</v>
      </c>
      <c r="H13" t="s">
        <v>36</v>
      </c>
      <c r="J13" t="s">
        <v>246</v>
      </c>
      <c r="K13" t="s">
        <v>257</v>
      </c>
    </row>
    <row r="14" spans="2:11" x14ac:dyDescent="0.2">
      <c r="D14" t="s">
        <v>229</v>
      </c>
      <c r="H14" t="s">
        <v>37</v>
      </c>
      <c r="J14" t="s">
        <v>247</v>
      </c>
      <c r="K14" t="s">
        <v>257</v>
      </c>
    </row>
    <row r="15" spans="2:11" x14ac:dyDescent="0.2">
      <c r="H15" t="s">
        <v>38</v>
      </c>
      <c r="J15" t="s">
        <v>248</v>
      </c>
      <c r="K15" t="s">
        <v>256</v>
      </c>
    </row>
    <row r="16" spans="2:11" x14ac:dyDescent="0.2">
      <c r="H16" t="s">
        <v>39</v>
      </c>
      <c r="J16" t="s">
        <v>249</v>
      </c>
      <c r="K16" t="s">
        <v>257</v>
      </c>
    </row>
    <row r="17" spans="8:11" x14ac:dyDescent="0.2">
      <c r="H17" t="s">
        <v>40</v>
      </c>
      <c r="J17" t="s">
        <v>250</v>
      </c>
      <c r="K17" t="s">
        <v>258</v>
      </c>
    </row>
    <row r="18" spans="8:11" x14ac:dyDescent="0.2">
      <c r="H18" t="s">
        <v>42</v>
      </c>
      <c r="J18" t="s">
        <v>251</v>
      </c>
      <c r="K18" t="s">
        <v>256</v>
      </c>
    </row>
    <row r="19" spans="8:11" x14ac:dyDescent="0.2">
      <c r="H19" t="s">
        <v>43</v>
      </c>
      <c r="J19" t="s">
        <v>252</v>
      </c>
    </row>
    <row r="20" spans="8:11" x14ac:dyDescent="0.2">
      <c r="H20" t="s">
        <v>44</v>
      </c>
    </row>
    <row r="21" spans="8:11" x14ac:dyDescent="0.2">
      <c r="H21" t="s">
        <v>45</v>
      </c>
    </row>
    <row r="22" spans="8:11" x14ac:dyDescent="0.2">
      <c r="H22" t="s">
        <v>47</v>
      </c>
    </row>
    <row r="23" spans="8:11" x14ac:dyDescent="0.2">
      <c r="H23" t="s">
        <v>48</v>
      </c>
    </row>
    <row r="24" spans="8:11" x14ac:dyDescent="0.2">
      <c r="H24" t="s">
        <v>49</v>
      </c>
    </row>
    <row r="25" spans="8:11" x14ac:dyDescent="0.2">
      <c r="H25" t="s">
        <v>214</v>
      </c>
    </row>
    <row r="26" spans="8:11" x14ac:dyDescent="0.2">
      <c r="H26" t="s">
        <v>30</v>
      </c>
    </row>
    <row r="27" spans="8:11" x14ac:dyDescent="0.2">
      <c r="H27" t="s">
        <v>41</v>
      </c>
    </row>
    <row r="28" spans="8:11" x14ac:dyDescent="0.2">
      <c r="H28" t="s">
        <v>215</v>
      </c>
    </row>
    <row r="29" spans="8:11" x14ac:dyDescent="0.2">
      <c r="H29" t="s">
        <v>51</v>
      </c>
    </row>
    <row r="30" spans="8:11" x14ac:dyDescent="0.2">
      <c r="H30" t="s">
        <v>92</v>
      </c>
    </row>
  </sheetData>
  <pageMargins left="0.7" right="0.7" top="0.75" bottom="0.75" header="0.3" footer="0.3"/>
  <pageSetup orientation="portrait" horizontalDpi="1200" verticalDpi="1200" r:id="rId1"/>
  <headerFooter>
    <oddHeader>&amp;L&amp;"Aptos"&amp;12&amp;K00B294 Proprietary&amp;1#_x000D_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Resources</vt:lpstr>
      <vt:lpstr>Milestone Mapping</vt:lpstr>
      <vt:lpstr>complex_device</vt:lpstr>
      <vt:lpstr>platform_ai</vt:lpstr>
      <vt:lpstr>platform_pfs</vt:lpstr>
      <vt:lpstr>Kits</vt:lpstr>
      <vt:lpstr>data_validation_lists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Givand, Jeffrey C.</dc:creator>
  <cp:lastModifiedBy>Chen, Yan</cp:lastModifiedBy>
  <dcterms:created xsi:type="dcterms:W3CDTF">2026-01-09T14:04:52Z</dcterms:created>
  <dcterms:modified xsi:type="dcterms:W3CDTF">2026-01-15T01:41:50Z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fd646-07cb-4c4e-a107-4e4d6b30ba1b_Enabled">
    <vt:lpwstr>true</vt:lpwstr>
  </property>
  <property fmtid="{D5CDD505-2E9C-101B-9397-08002B2CF9AE}" pid="3" name="MSIP_Label_927fd646-07cb-4c4e-a107-4e4d6b30ba1b_SetDate">
    <vt:lpwstr>2026-01-09T14:14:49Z</vt:lpwstr>
  </property>
  <property fmtid="{D5CDD505-2E9C-101B-9397-08002B2CF9AE}" pid="4" name="MSIP_Label_927fd646-07cb-4c4e-a107-4e4d6b30ba1b_Method">
    <vt:lpwstr>Privileged</vt:lpwstr>
  </property>
  <property fmtid="{D5CDD505-2E9C-101B-9397-08002B2CF9AE}" pid="5" name="MSIP_Label_927fd646-07cb-4c4e-a107-4e4d6b30ba1b_Name">
    <vt:lpwstr>927fd646-07cb-4c4e-a107-4e4d6b30ba1b</vt:lpwstr>
  </property>
  <property fmtid="{D5CDD505-2E9C-101B-9397-08002B2CF9AE}" pid="6" name="MSIP_Label_927fd646-07cb-4c4e-a107-4e4d6b30ba1b_SiteId">
    <vt:lpwstr>a00de4ec-48a8-43a6-be74-e31274e2060d</vt:lpwstr>
  </property>
  <property fmtid="{D5CDD505-2E9C-101B-9397-08002B2CF9AE}" pid="7" name="MSIP_Label_927fd646-07cb-4c4e-a107-4e4d6b30ba1b_ActionId">
    <vt:lpwstr>f950243f-5d30-40c7-90b9-9a8ae0f0d0dc</vt:lpwstr>
  </property>
  <property fmtid="{D5CDD505-2E9C-101B-9397-08002B2CF9AE}" pid="8" name="MSIP_Label_927fd646-07cb-4c4e-a107-4e4d6b30ba1b_ContentBits">
    <vt:lpwstr>1</vt:lpwstr>
  </property>
  <property fmtid="{D5CDD505-2E9C-101B-9397-08002B2CF9AE}" pid="9" name="MSIP_Label_927fd646-07cb-4c4e-a107-4e4d6b30ba1b_Tag">
    <vt:lpwstr>10, 0, 1, 1</vt:lpwstr>
  </property>
</Properties>
</file>